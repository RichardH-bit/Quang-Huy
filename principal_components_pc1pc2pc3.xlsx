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dmin\Documents\A HUY\HD_SV_2024\Đ.Long - T Vy\"/>
    </mc:Choice>
  </mc:AlternateContent>
  <xr:revisionPtr revIDLastSave="0" documentId="13_ncr:1_{BA524CE3-74B4-49B9-9AF8-04A28C524BA5}" xr6:coauthVersionLast="47" xr6:coauthVersionMax="47" xr10:uidLastSave="{00000000-0000-0000-0000-000000000000}"/>
  <bookViews>
    <workbookView xWindow="-1030" yWindow="140" windowWidth="9720" windowHeight="994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S83" i="1" l="1"/>
  <c r="R88" i="1"/>
  <c r="P88" i="1"/>
  <c r="O80" i="1"/>
  <c r="P80" i="1"/>
  <c r="Q80" i="1"/>
  <c r="R80" i="1"/>
  <c r="O81" i="1"/>
  <c r="P81" i="1"/>
  <c r="Q81" i="1"/>
  <c r="R81" i="1"/>
  <c r="N81" i="1"/>
  <c r="N80" i="1"/>
  <c r="R83" i="1" s="1"/>
  <c r="P83" i="1" l="1"/>
  <c r="L33" i="1" l="1"/>
  <c r="L27" i="1"/>
  <c r="L25" i="1"/>
  <c r="L17" i="1"/>
  <c r="L15" i="1"/>
  <c r="L45" i="1"/>
  <c r="L47" i="1"/>
  <c r="L44" i="1"/>
  <c r="L46" i="1"/>
  <c r="L43" i="1"/>
  <c r="AB3" i="1" l="1"/>
  <c r="AB4" i="1" s="1"/>
  <c r="AB5" i="1" s="1"/>
  <c r="AB6" i="1" s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 s="1"/>
  <c r="AB57" i="1" s="1"/>
  <c r="AB58" i="1" s="1"/>
  <c r="AB59" i="1" s="1"/>
  <c r="AB60" i="1" s="1"/>
  <c r="AB61" i="1" s="1"/>
  <c r="AB62" i="1" s="1"/>
  <c r="AB63" i="1" s="1"/>
  <c r="AB64" i="1" s="1"/>
  <c r="AB65" i="1" s="1"/>
  <c r="AB66" i="1" s="1"/>
  <c r="AB67" i="1" s="1"/>
  <c r="AB68" i="1" s="1"/>
  <c r="AB69" i="1" s="1"/>
  <c r="AB70" i="1" s="1"/>
  <c r="AB71" i="1" s="1"/>
  <c r="AB72" i="1" s="1"/>
  <c r="AB73" i="1" s="1"/>
  <c r="AB74" i="1" s="1"/>
  <c r="AB75" i="1" s="1"/>
  <c r="AB76" i="1" s="1"/>
  <c r="AB77" i="1" s="1"/>
  <c r="AB78" i="1" s="1"/>
  <c r="K697" i="1"/>
  <c r="J695" i="1"/>
  <c r="J687" i="1"/>
  <c r="J675" i="1"/>
  <c r="J665" i="1"/>
  <c r="J655" i="1"/>
  <c r="K637" i="1"/>
  <c r="K627" i="1"/>
  <c r="J627" i="1"/>
  <c r="J617" i="1"/>
  <c r="J595" i="1"/>
  <c r="K578" i="1"/>
  <c r="K567" i="1"/>
  <c r="K557" i="1"/>
  <c r="K537" i="1"/>
  <c r="J527" i="1"/>
  <c r="J507" i="1"/>
  <c r="K507" i="1"/>
  <c r="J505" i="1"/>
  <c r="K497" i="1"/>
  <c r="J493" i="1"/>
  <c r="K477" i="1"/>
  <c r="J357" i="1"/>
  <c r="J63" i="1"/>
</calcChain>
</file>

<file path=xl/sharedStrings.xml><?xml version="1.0" encoding="utf-8"?>
<sst xmlns="http://schemas.openxmlformats.org/spreadsheetml/2006/main" count="972" uniqueCount="117">
  <si>
    <t>Slice</t>
  </si>
  <si>
    <t>Phase</t>
  </si>
  <si>
    <t>PC1</t>
  </si>
  <si>
    <t>PC2</t>
  </si>
  <si>
    <t>PC3</t>
  </si>
  <si>
    <t>R2</t>
  </si>
  <si>
    <t>a</t>
  </si>
  <si>
    <t>b</t>
  </si>
  <si>
    <t>c</t>
  </si>
  <si>
    <t>d</t>
  </si>
  <si>
    <t>2.6615*10^11</t>
  </si>
  <si>
    <t>6.0825*10^-9</t>
  </si>
  <si>
    <t>6.7248*10^10</t>
  </si>
  <si>
    <t>3.574*10^-9</t>
  </si>
  <si>
    <t>8.9092*10^10</t>
  </si>
  <si>
    <t>1.0414*10^8</t>
  </si>
  <si>
    <t>2.287*10^10</t>
  </si>
  <si>
    <t>7.4908*10^-9</t>
  </si>
  <si>
    <t>4.9414*10^14</t>
  </si>
  <si>
    <t>2.0961*10^10</t>
  </si>
  <si>
    <t>1.7408*10^10</t>
  </si>
  <si>
    <t>1.0423*10^-8</t>
  </si>
  <si>
    <t>3.4039*10^10</t>
  </si>
  <si>
    <t>5.4148*10^-9</t>
  </si>
  <si>
    <t>2.4132*10^11</t>
  </si>
  <si>
    <t>9.5586*10^-9</t>
  </si>
  <si>
    <t>8.6876*10^8</t>
  </si>
  <si>
    <t>2.2258*10^11</t>
  </si>
  <si>
    <t>1.1847*1^12</t>
  </si>
  <si>
    <t>7.9409*10^-10</t>
  </si>
  <si>
    <t>3.2307*10^13</t>
  </si>
  <si>
    <t>5.3291*10^9</t>
  </si>
  <si>
    <t>5.997*10^10</t>
  </si>
  <si>
    <t>6.6373*10^-9</t>
  </si>
  <si>
    <t>1.1509*10^{9}</t>
  </si>
  <si>
    <t>9.3063*10^{19}</t>
  </si>
  <si>
    <t>2.293*10^{-9}</t>
  </si>
  <si>
    <t>6.2223*10^12</t>
  </si>
  <si>
    <t>4.4178*10^10</t>
  </si>
  <si>
    <t>8.3706*10^-9</t>
  </si>
  <si>
    <t>1.2735*10^14</t>
  </si>
  <si>
    <t>1.8655*10^13</t>
  </si>
  <si>
    <t>7.9147*10^10</t>
  </si>
  <si>
    <t>8.2229*10^-9</t>
  </si>
  <si>
    <t>6.235*10^11</t>
  </si>
  <si>
    <t>2.3821*10^14</t>
  </si>
  <si>
    <t>9.7216*10^10</t>
  </si>
  <si>
    <t>2.0793*10^-8</t>
  </si>
  <si>
    <t>3.5124*10^10</t>
  </si>
  <si>
    <t>3.2031*10^-8</t>
  </si>
  <si>
    <t>1.4378*10^11</t>
  </si>
  <si>
    <t>8.4357*10^-9</t>
  </si>
  <si>
    <t>3.2451*10^9</t>
  </si>
  <si>
    <t>.1645*10^11</t>
  </si>
  <si>
    <t>1.7683*10^11</t>
  </si>
  <si>
    <t>5.4603*10^-9</t>
  </si>
  <si>
    <t>1.025*10^13</t>
  </si>
  <si>
    <t>More</t>
  </si>
  <si>
    <t>Frequency</t>
  </si>
  <si>
    <t>Cumulative %</t>
  </si>
  <si>
    <t>Giá trị hệ số Xác định (R2)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</si>
  <si>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</si>
  <si>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</si>
  <si>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</si>
  <si>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</si>
  <si>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</si>
  <si>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</si>
  <si>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</si>
  <si>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</si>
  <si>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</si>
  <si>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</si>
  <si>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</si>
  <si>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</si>
  <si>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</si>
  <si>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</si>
  <si>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</si>
  <si>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</si>
  <si>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</si>
  <si>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</si>
  <si>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F thực nghiện</t>
  </si>
  <si>
    <t>bậc tự do</t>
  </si>
  <si>
    <t>Phương sai</t>
  </si>
  <si>
    <t>Giá trị xác suất</t>
  </si>
  <si>
    <t>F tra bảng</t>
  </si>
  <si>
    <t>R2(PC1)</t>
  </si>
  <si>
    <t>R2(PC2)</t>
  </si>
  <si>
    <t>R3(PC3)</t>
  </si>
  <si>
    <t>Câu hỏi Slice và PC có ảnh hưởng lên Phase không??</t>
  </si>
  <si>
    <t>Nguồn phương sai</t>
  </si>
  <si>
    <t>Tổng biến động</t>
  </si>
  <si>
    <t>Correlation giữa các PC</t>
  </si>
  <si>
    <t>Kết luân: P&lt;0.05</t>
  </si>
  <si>
    <t>Có sự khác nhau PC</t>
  </si>
  <si>
    <t>Pc1, Pc3</t>
  </si>
  <si>
    <t>Không có khác biệt</t>
  </si>
  <si>
    <t>Pc2, Pc3</t>
  </si>
  <si>
    <t>Có khác biệt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</si>
  <si>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</si>
  <si>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</si>
  <si>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</si>
  <si>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</si>
  <si>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</si>
  <si>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</si>
  <si>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</si>
  <si>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</si>
  <si>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</si>
  <si>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</si>
  <si>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</si>
  <si>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Largest(1)</t>
  </si>
  <si>
    <t>Smallest(1)</t>
  </si>
  <si>
    <t>Confidence Level(95.0%)</t>
  </si>
  <si>
    <t>0.84680.007</t>
  </si>
  <si>
    <t>Lát cắt thứ nhất trước-sau đăng ký ở pha T00.A. Ảnh tham chiếu; B. Ảnh chuyển động; C. Ảnh đăng ký D. Ảnh khác biệt trước khi đăng ký; E. Ảnh khác biệt sau đăng ký.</t>
  </si>
  <si>
    <t>Coefficient of determination (R2)</t>
  </si>
  <si>
    <t>TB</t>
  </si>
  <si>
    <t>DLC</t>
  </si>
  <si>
    <t>Lâm sang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</si>
</sst>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theme="1"/>
      <name val="Times New Roman"/>
      <family val="1"/>
    </font>
    <font>
      <sz val="8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0" fillId="0" borderId="2" xfId="0" applyBorder="1"/>
    <xf numFmtId="2" fontId="7" fillId="0" borderId="1" xfId="0" applyNumberFormat="1" applyFont="1" applyBorder="1" applyAlignment="1">
      <alignment horizontal="center" vertical="top"/>
    </xf>
    <xf numFmtId="10" fontId="0" fillId="0" borderId="0" xfId="0" applyNumberFormat="1"/>
    <xf numFmtId="0" fontId="0" fillId="0" borderId="3" xfId="0" applyBorder="1"/>
    <xf numFmtId="10" fontId="0" fillId="0" borderId="3" xfId="0" applyNumberFormat="1" applyBorder="1"/>
    <xf numFmtId="0" fontId="8" fillId="0" borderId="4" xfId="0" applyFont="1" applyBorder="1" applyAlignment="1">
      <alignment horizontal="center"/>
    </xf>
    <xf numFmtId="0" fontId="2" fillId="0" borderId="5" xfId="0" applyFont="1" applyBorder="1"/>
    <xf numFmtId="0" fontId="10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5" xfId="0" applyFont="1" applyBorder="1"/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2" fillId="0" borderId="0" xfId="0" applyFont="1"/>
    <xf numFmtId="0" fontId="13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Tần</a:t>
            </a:r>
            <a:r>
              <a:rPr lang="en-US" baseline="0"/>
              <a:t> số và hệ số xác định (R2) của PC1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Sheet1!$AM$9:$AM$15</c:f>
              <c:strCache>
                <c:ptCount val="7"/>
                <c:pt idx="0">
                  <c:v>0.8</c:v>
                </c:pt>
                <c:pt idx="1">
                  <c:v>0.9</c:v>
                </c:pt>
                <c:pt idx="2">
                  <c:v>0.7</c:v>
                </c:pt>
                <c:pt idx="3">
                  <c:v>1</c:v>
                </c:pt>
                <c:pt idx="4">
                  <c:v>0.5</c:v>
                </c:pt>
                <c:pt idx="5">
                  <c:v>0.6</c:v>
                </c:pt>
                <c:pt idx="6">
                  <c:v>More</c:v>
                </c:pt>
              </c:strCache>
            </c:strRef>
          </c:cat>
          <c:val>
            <c:numRef>
              <c:f>Sheet1!$AN$9:$AN$15</c:f>
              <c:numCache>
                <c:formatCode>General</c:formatCode>
                <c:ptCount val="7"/>
                <c:pt idx="0">
                  <c:v>34</c:v>
                </c:pt>
                <c:pt idx="1">
                  <c:v>31</c:v>
                </c:pt>
                <c:pt idx="2">
                  <c:v>11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6E-445B-8352-2B6957485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186456"/>
        <c:axId val="100187176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strRef>
              <c:f>Sheet1!$AM$9:$AM$15</c:f>
              <c:strCache>
                <c:ptCount val="7"/>
                <c:pt idx="0">
                  <c:v>0.8</c:v>
                </c:pt>
                <c:pt idx="1">
                  <c:v>0.9</c:v>
                </c:pt>
                <c:pt idx="2">
                  <c:v>0.7</c:v>
                </c:pt>
                <c:pt idx="3">
                  <c:v>1</c:v>
                </c:pt>
                <c:pt idx="4">
                  <c:v>0.5</c:v>
                </c:pt>
                <c:pt idx="5">
                  <c:v>0.6</c:v>
                </c:pt>
                <c:pt idx="6">
                  <c:v>More</c:v>
                </c:pt>
              </c:strCache>
            </c:strRef>
          </c:cat>
          <c:val>
            <c:numRef>
              <c:f>Sheet1!$AO$9:$AO$15</c:f>
              <c:numCache>
                <c:formatCode>0.00%</c:formatCode>
                <c:ptCount val="7"/>
                <c:pt idx="0">
                  <c:v>0.44155844155844154</c:v>
                </c:pt>
                <c:pt idx="1">
                  <c:v>0.8441558441558441</c:v>
                </c:pt>
                <c:pt idx="2">
                  <c:v>0.98701298701298701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6E-445B-8352-2B6957485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90056"/>
        <c:axId val="100191496"/>
      </c:lineChart>
      <c:catAx>
        <c:axId val="100186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Giá trị hệ số Xác định (R2)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187176"/>
        <c:crosses val="autoZero"/>
        <c:auto val="1"/>
        <c:lblAlgn val="ctr"/>
        <c:lblOffset val="100"/>
        <c:noMultiLvlLbl val="0"/>
      </c:catAx>
      <c:valAx>
        <c:axId val="1001871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186456"/>
        <c:crosses val="autoZero"/>
        <c:crossBetween val="between"/>
      </c:valAx>
      <c:valAx>
        <c:axId val="10019149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00190056"/>
        <c:crosses val="max"/>
        <c:crossBetween val="between"/>
      </c:valAx>
      <c:catAx>
        <c:axId val="1001900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191496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</a:rPr>
              <a:t>Tần số và hệ số xác định (R2) của PC2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Sheet1!$AM$44:$AM$50</c:f>
              <c:strCache>
                <c:ptCount val="7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0.5</c:v>
                </c:pt>
                <c:pt idx="5">
                  <c:v>0.6</c:v>
                </c:pt>
                <c:pt idx="6">
                  <c:v>More</c:v>
                </c:pt>
              </c:strCache>
            </c:strRef>
          </c:cat>
          <c:val>
            <c:numRef>
              <c:f>Sheet1!$AN$44:$AN$50</c:f>
              <c:numCache>
                <c:formatCode>General</c:formatCode>
                <c:ptCount val="7"/>
                <c:pt idx="0">
                  <c:v>29</c:v>
                </c:pt>
                <c:pt idx="1">
                  <c:v>24</c:v>
                </c:pt>
                <c:pt idx="2">
                  <c:v>21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15-4743-95A7-F538D3A14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177816"/>
        <c:axId val="100182496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strRef>
              <c:f>Sheet1!$AM$44:$AM$50</c:f>
              <c:strCache>
                <c:ptCount val="7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0.5</c:v>
                </c:pt>
                <c:pt idx="5">
                  <c:v>0.6</c:v>
                </c:pt>
                <c:pt idx="6">
                  <c:v>More</c:v>
                </c:pt>
              </c:strCache>
            </c:strRef>
          </c:cat>
          <c:val>
            <c:numRef>
              <c:f>Sheet1!$AO$44:$AO$50</c:f>
              <c:numCache>
                <c:formatCode>0.00%</c:formatCode>
                <c:ptCount val="7"/>
                <c:pt idx="0">
                  <c:v>0.37662337662337664</c:v>
                </c:pt>
                <c:pt idx="1">
                  <c:v>0.68831168831168832</c:v>
                </c:pt>
                <c:pt idx="2">
                  <c:v>0.96103896103896103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15-4743-95A7-F538D3A14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622832"/>
        <c:axId val="397621752"/>
      </c:lineChart>
      <c:catAx>
        <c:axId val="100177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Giá trị hệ số Xác định (R2)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182496"/>
        <c:crosses val="autoZero"/>
        <c:auto val="1"/>
        <c:lblAlgn val="ctr"/>
        <c:lblOffset val="100"/>
        <c:noMultiLvlLbl val="0"/>
      </c:catAx>
      <c:valAx>
        <c:axId val="1001824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177816"/>
        <c:crosses val="autoZero"/>
        <c:crossBetween val="between"/>
      </c:valAx>
      <c:valAx>
        <c:axId val="39762175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97622832"/>
        <c:crosses val="max"/>
        <c:crossBetween val="between"/>
      </c:valAx>
      <c:catAx>
        <c:axId val="3976228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762175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</a:rPr>
              <a:t>Tần số và hệ số xác định (R2) của PC3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Sheet1!$AM$76:$AM$82</c:f>
              <c:strCache>
                <c:ptCount val="7"/>
                <c:pt idx="0">
                  <c:v>0.8</c:v>
                </c:pt>
                <c:pt idx="1">
                  <c:v>0.9</c:v>
                </c:pt>
                <c:pt idx="2">
                  <c:v>0.7</c:v>
                </c:pt>
                <c:pt idx="3">
                  <c:v>1</c:v>
                </c:pt>
                <c:pt idx="4">
                  <c:v>0.5</c:v>
                </c:pt>
                <c:pt idx="5">
                  <c:v>0.6</c:v>
                </c:pt>
                <c:pt idx="6">
                  <c:v>More</c:v>
                </c:pt>
              </c:strCache>
            </c:strRef>
          </c:cat>
          <c:val>
            <c:numRef>
              <c:f>Sheet1!$AN$76:$AN$82</c:f>
              <c:numCache>
                <c:formatCode>General</c:formatCode>
                <c:ptCount val="7"/>
                <c:pt idx="0">
                  <c:v>28</c:v>
                </c:pt>
                <c:pt idx="1">
                  <c:v>28</c:v>
                </c:pt>
                <c:pt idx="2">
                  <c:v>14</c:v>
                </c:pt>
                <c:pt idx="3">
                  <c:v>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18-4F16-819B-44BE20ECF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185016"/>
        <c:axId val="499186328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strRef>
              <c:f>Sheet1!$AM$76:$AM$82</c:f>
              <c:strCache>
                <c:ptCount val="7"/>
                <c:pt idx="0">
                  <c:v>0.8</c:v>
                </c:pt>
                <c:pt idx="1">
                  <c:v>0.9</c:v>
                </c:pt>
                <c:pt idx="2">
                  <c:v>0.7</c:v>
                </c:pt>
                <c:pt idx="3">
                  <c:v>1</c:v>
                </c:pt>
                <c:pt idx="4">
                  <c:v>0.5</c:v>
                </c:pt>
                <c:pt idx="5">
                  <c:v>0.6</c:v>
                </c:pt>
                <c:pt idx="6">
                  <c:v>More</c:v>
                </c:pt>
              </c:strCache>
            </c:strRef>
          </c:cat>
          <c:val>
            <c:numRef>
              <c:f>Sheet1!$AO$76:$AO$82</c:f>
              <c:numCache>
                <c:formatCode>0.00%</c:formatCode>
                <c:ptCount val="7"/>
                <c:pt idx="0">
                  <c:v>0.36363636363636365</c:v>
                </c:pt>
                <c:pt idx="1">
                  <c:v>0.72727272727272729</c:v>
                </c:pt>
                <c:pt idx="2">
                  <c:v>0.90909090909090906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18-4F16-819B-44BE20ECF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648512"/>
        <c:axId val="388996608"/>
      </c:lineChart>
      <c:catAx>
        <c:axId val="100185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Giá trị hệ số Xác định (R2)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9186328"/>
        <c:crosses val="autoZero"/>
        <c:auto val="1"/>
        <c:lblAlgn val="ctr"/>
        <c:lblOffset val="100"/>
        <c:noMultiLvlLbl val="0"/>
      </c:catAx>
      <c:valAx>
        <c:axId val="4991863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185016"/>
        <c:crosses val="autoZero"/>
        <c:crossBetween val="between"/>
      </c:valAx>
      <c:valAx>
        <c:axId val="38899660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97648512"/>
        <c:crosses val="max"/>
        <c:crossBetween val="between"/>
      </c:valAx>
      <c:catAx>
        <c:axId val="397648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899660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>
                <a:latin typeface="Times New Roman" panose="02020603050405020304" pitchFamily="18" charset="0"/>
                <a:cs typeface="Times New Roman" panose="02020603050405020304" pitchFamily="18" charset="0"/>
              </a:rPr>
              <a:t>Đồ Thị theo pha dao động và 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971538757127814E-2"/>
          <c:y val="8.556184259028092E-2"/>
          <c:w val="0.88618403475213769"/>
          <c:h val="0.833873913831462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PC1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Sheet1!$B$2:$B$934</c:f>
              <c:numCache>
                <c:formatCode>General</c:formatCode>
                <c:ptCount val="9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7">
                  <c:v>1</c:v>
                </c:pt>
                <c:pt idx="38">
                  <c:v>2</c:v>
                </c:pt>
                <c:pt idx="39">
                  <c:v>3</c:v>
                </c:pt>
                <c:pt idx="40">
                  <c:v>4</c:v>
                </c:pt>
                <c:pt idx="41">
                  <c:v>5</c:v>
                </c:pt>
                <c:pt idx="42">
                  <c:v>6</c:v>
                </c:pt>
                <c:pt idx="43">
                  <c:v>7</c:v>
                </c:pt>
                <c:pt idx="44">
                  <c:v>8</c:v>
                </c:pt>
                <c:pt idx="45">
                  <c:v>9</c:v>
                </c:pt>
                <c:pt idx="46">
                  <c:v>10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4</c:v>
                </c:pt>
                <c:pt idx="65">
                  <c:v>5</c:v>
                </c:pt>
                <c:pt idx="66">
                  <c:v>6</c:v>
                </c:pt>
                <c:pt idx="67">
                  <c:v>7</c:v>
                </c:pt>
                <c:pt idx="68">
                  <c:v>8</c:v>
                </c:pt>
                <c:pt idx="69">
                  <c:v>9</c:v>
                </c:pt>
                <c:pt idx="70">
                  <c:v>10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5">
                  <c:v>1</c:v>
                </c:pt>
                <c:pt idx="86">
                  <c:v>2</c:v>
                </c:pt>
                <c:pt idx="87">
                  <c:v>3</c:v>
                </c:pt>
                <c:pt idx="88">
                  <c:v>4</c:v>
                </c:pt>
                <c:pt idx="89">
                  <c:v>5</c:v>
                </c:pt>
                <c:pt idx="90">
                  <c:v>6</c:v>
                </c:pt>
                <c:pt idx="91">
                  <c:v>7</c:v>
                </c:pt>
                <c:pt idx="92">
                  <c:v>8</c:v>
                </c:pt>
                <c:pt idx="93">
                  <c:v>9</c:v>
                </c:pt>
                <c:pt idx="94">
                  <c:v>10</c:v>
                </c:pt>
                <c:pt idx="97">
                  <c:v>1</c:v>
                </c:pt>
                <c:pt idx="98">
                  <c:v>2</c:v>
                </c:pt>
                <c:pt idx="99">
                  <c:v>3</c:v>
                </c:pt>
                <c:pt idx="100">
                  <c:v>4</c:v>
                </c:pt>
                <c:pt idx="101">
                  <c:v>5</c:v>
                </c:pt>
                <c:pt idx="102">
                  <c:v>6</c:v>
                </c:pt>
                <c:pt idx="103">
                  <c:v>7</c:v>
                </c:pt>
                <c:pt idx="104">
                  <c:v>8</c:v>
                </c:pt>
                <c:pt idx="105">
                  <c:v>9</c:v>
                </c:pt>
                <c:pt idx="106">
                  <c:v>10</c:v>
                </c:pt>
                <c:pt idx="109">
                  <c:v>1</c:v>
                </c:pt>
                <c:pt idx="110">
                  <c:v>2</c:v>
                </c:pt>
                <c:pt idx="111">
                  <c:v>3</c:v>
                </c:pt>
                <c:pt idx="112">
                  <c:v>4</c:v>
                </c:pt>
                <c:pt idx="113">
                  <c:v>5</c:v>
                </c:pt>
                <c:pt idx="114">
                  <c:v>6</c:v>
                </c:pt>
                <c:pt idx="115">
                  <c:v>7</c:v>
                </c:pt>
                <c:pt idx="116">
                  <c:v>8</c:v>
                </c:pt>
                <c:pt idx="117">
                  <c:v>9</c:v>
                </c:pt>
                <c:pt idx="118">
                  <c:v>10</c:v>
                </c:pt>
                <c:pt idx="121">
                  <c:v>1</c:v>
                </c:pt>
                <c:pt idx="122">
                  <c:v>2</c:v>
                </c:pt>
                <c:pt idx="123">
                  <c:v>3</c:v>
                </c:pt>
                <c:pt idx="124">
                  <c:v>4</c:v>
                </c:pt>
                <c:pt idx="125">
                  <c:v>5</c:v>
                </c:pt>
                <c:pt idx="126">
                  <c:v>6</c:v>
                </c:pt>
                <c:pt idx="127">
                  <c:v>7</c:v>
                </c:pt>
                <c:pt idx="128">
                  <c:v>8</c:v>
                </c:pt>
                <c:pt idx="129">
                  <c:v>9</c:v>
                </c:pt>
                <c:pt idx="130">
                  <c:v>10</c:v>
                </c:pt>
                <c:pt idx="133">
                  <c:v>1</c:v>
                </c:pt>
                <c:pt idx="134">
                  <c:v>2</c:v>
                </c:pt>
                <c:pt idx="135">
                  <c:v>3</c:v>
                </c:pt>
                <c:pt idx="136">
                  <c:v>4</c:v>
                </c:pt>
                <c:pt idx="137">
                  <c:v>5</c:v>
                </c:pt>
                <c:pt idx="138">
                  <c:v>6</c:v>
                </c:pt>
                <c:pt idx="139">
                  <c:v>7</c:v>
                </c:pt>
                <c:pt idx="140">
                  <c:v>8</c:v>
                </c:pt>
                <c:pt idx="141">
                  <c:v>9</c:v>
                </c:pt>
                <c:pt idx="142">
                  <c:v>10</c:v>
                </c:pt>
                <c:pt idx="145">
                  <c:v>1</c:v>
                </c:pt>
                <c:pt idx="146">
                  <c:v>2</c:v>
                </c:pt>
                <c:pt idx="147">
                  <c:v>3</c:v>
                </c:pt>
                <c:pt idx="148">
                  <c:v>4</c:v>
                </c:pt>
                <c:pt idx="149">
                  <c:v>5</c:v>
                </c:pt>
                <c:pt idx="150">
                  <c:v>6</c:v>
                </c:pt>
                <c:pt idx="151">
                  <c:v>7</c:v>
                </c:pt>
                <c:pt idx="152">
                  <c:v>8</c:v>
                </c:pt>
                <c:pt idx="153">
                  <c:v>9</c:v>
                </c:pt>
                <c:pt idx="154">
                  <c:v>10</c:v>
                </c:pt>
                <c:pt idx="157">
                  <c:v>1</c:v>
                </c:pt>
                <c:pt idx="158">
                  <c:v>2</c:v>
                </c:pt>
                <c:pt idx="159">
                  <c:v>3</c:v>
                </c:pt>
                <c:pt idx="160">
                  <c:v>4</c:v>
                </c:pt>
                <c:pt idx="161">
                  <c:v>5</c:v>
                </c:pt>
                <c:pt idx="162">
                  <c:v>6</c:v>
                </c:pt>
                <c:pt idx="163">
                  <c:v>7</c:v>
                </c:pt>
                <c:pt idx="164">
                  <c:v>8</c:v>
                </c:pt>
                <c:pt idx="165">
                  <c:v>9</c:v>
                </c:pt>
                <c:pt idx="166">
                  <c:v>10</c:v>
                </c:pt>
                <c:pt idx="169">
                  <c:v>1</c:v>
                </c:pt>
                <c:pt idx="170">
                  <c:v>2</c:v>
                </c:pt>
                <c:pt idx="171">
                  <c:v>3</c:v>
                </c:pt>
                <c:pt idx="172">
                  <c:v>4</c:v>
                </c:pt>
                <c:pt idx="173">
                  <c:v>5</c:v>
                </c:pt>
                <c:pt idx="174">
                  <c:v>6</c:v>
                </c:pt>
                <c:pt idx="175">
                  <c:v>7</c:v>
                </c:pt>
                <c:pt idx="176">
                  <c:v>8</c:v>
                </c:pt>
                <c:pt idx="177">
                  <c:v>9</c:v>
                </c:pt>
                <c:pt idx="178">
                  <c:v>10</c:v>
                </c:pt>
                <c:pt idx="182">
                  <c:v>1</c:v>
                </c:pt>
                <c:pt idx="183">
                  <c:v>2</c:v>
                </c:pt>
                <c:pt idx="184">
                  <c:v>3</c:v>
                </c:pt>
                <c:pt idx="185">
                  <c:v>4</c:v>
                </c:pt>
                <c:pt idx="186">
                  <c:v>5</c:v>
                </c:pt>
                <c:pt idx="187">
                  <c:v>6</c:v>
                </c:pt>
                <c:pt idx="188">
                  <c:v>7</c:v>
                </c:pt>
                <c:pt idx="189">
                  <c:v>8</c:v>
                </c:pt>
                <c:pt idx="190">
                  <c:v>9</c:v>
                </c:pt>
                <c:pt idx="191">
                  <c:v>10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4</c:v>
                </c:pt>
                <c:pt idx="199">
                  <c:v>5</c:v>
                </c:pt>
                <c:pt idx="200">
                  <c:v>6</c:v>
                </c:pt>
                <c:pt idx="201">
                  <c:v>7</c:v>
                </c:pt>
                <c:pt idx="202">
                  <c:v>8</c:v>
                </c:pt>
                <c:pt idx="203">
                  <c:v>9</c:v>
                </c:pt>
                <c:pt idx="204">
                  <c:v>10</c:v>
                </c:pt>
                <c:pt idx="209">
                  <c:v>1</c:v>
                </c:pt>
                <c:pt idx="210">
                  <c:v>2</c:v>
                </c:pt>
                <c:pt idx="211">
                  <c:v>3</c:v>
                </c:pt>
                <c:pt idx="212">
                  <c:v>4</c:v>
                </c:pt>
                <c:pt idx="213">
                  <c:v>5</c:v>
                </c:pt>
                <c:pt idx="214">
                  <c:v>6</c:v>
                </c:pt>
                <c:pt idx="215">
                  <c:v>7</c:v>
                </c:pt>
                <c:pt idx="216">
                  <c:v>8</c:v>
                </c:pt>
                <c:pt idx="217">
                  <c:v>9</c:v>
                </c:pt>
                <c:pt idx="218">
                  <c:v>10</c:v>
                </c:pt>
                <c:pt idx="221">
                  <c:v>1</c:v>
                </c:pt>
                <c:pt idx="222">
                  <c:v>2</c:v>
                </c:pt>
                <c:pt idx="223">
                  <c:v>3</c:v>
                </c:pt>
                <c:pt idx="224">
                  <c:v>4</c:v>
                </c:pt>
                <c:pt idx="225">
                  <c:v>5</c:v>
                </c:pt>
                <c:pt idx="226">
                  <c:v>6</c:v>
                </c:pt>
                <c:pt idx="227">
                  <c:v>7</c:v>
                </c:pt>
                <c:pt idx="228">
                  <c:v>8</c:v>
                </c:pt>
                <c:pt idx="229">
                  <c:v>9</c:v>
                </c:pt>
                <c:pt idx="230">
                  <c:v>10</c:v>
                </c:pt>
                <c:pt idx="233">
                  <c:v>1</c:v>
                </c:pt>
                <c:pt idx="234">
                  <c:v>2</c:v>
                </c:pt>
                <c:pt idx="235">
                  <c:v>3</c:v>
                </c:pt>
                <c:pt idx="236">
                  <c:v>4</c:v>
                </c:pt>
                <c:pt idx="237">
                  <c:v>5</c:v>
                </c:pt>
                <c:pt idx="238">
                  <c:v>6</c:v>
                </c:pt>
                <c:pt idx="239">
                  <c:v>7</c:v>
                </c:pt>
                <c:pt idx="240">
                  <c:v>8</c:v>
                </c:pt>
                <c:pt idx="241">
                  <c:v>9</c:v>
                </c:pt>
                <c:pt idx="242">
                  <c:v>10</c:v>
                </c:pt>
                <c:pt idx="245">
                  <c:v>1</c:v>
                </c:pt>
                <c:pt idx="246">
                  <c:v>2</c:v>
                </c:pt>
                <c:pt idx="247">
                  <c:v>3</c:v>
                </c:pt>
                <c:pt idx="248">
                  <c:v>4</c:v>
                </c:pt>
                <c:pt idx="249">
                  <c:v>5</c:v>
                </c:pt>
                <c:pt idx="250">
                  <c:v>6</c:v>
                </c:pt>
                <c:pt idx="251">
                  <c:v>7</c:v>
                </c:pt>
                <c:pt idx="252">
                  <c:v>8</c:v>
                </c:pt>
                <c:pt idx="253">
                  <c:v>9</c:v>
                </c:pt>
                <c:pt idx="254">
                  <c:v>10</c:v>
                </c:pt>
                <c:pt idx="258">
                  <c:v>1</c:v>
                </c:pt>
                <c:pt idx="259">
                  <c:v>2</c:v>
                </c:pt>
                <c:pt idx="260">
                  <c:v>3</c:v>
                </c:pt>
                <c:pt idx="261">
                  <c:v>4</c:v>
                </c:pt>
                <c:pt idx="262">
                  <c:v>5</c:v>
                </c:pt>
                <c:pt idx="263">
                  <c:v>6</c:v>
                </c:pt>
                <c:pt idx="264">
                  <c:v>7</c:v>
                </c:pt>
                <c:pt idx="265">
                  <c:v>8</c:v>
                </c:pt>
                <c:pt idx="266">
                  <c:v>9</c:v>
                </c:pt>
                <c:pt idx="267">
                  <c:v>10</c:v>
                </c:pt>
                <c:pt idx="272">
                  <c:v>1</c:v>
                </c:pt>
                <c:pt idx="273">
                  <c:v>2</c:v>
                </c:pt>
                <c:pt idx="274">
                  <c:v>3</c:v>
                </c:pt>
                <c:pt idx="275">
                  <c:v>4</c:v>
                </c:pt>
                <c:pt idx="276">
                  <c:v>5</c:v>
                </c:pt>
                <c:pt idx="277">
                  <c:v>6</c:v>
                </c:pt>
                <c:pt idx="278">
                  <c:v>7</c:v>
                </c:pt>
                <c:pt idx="279">
                  <c:v>8</c:v>
                </c:pt>
                <c:pt idx="280">
                  <c:v>9</c:v>
                </c:pt>
                <c:pt idx="281">
                  <c:v>10</c:v>
                </c:pt>
                <c:pt idx="284">
                  <c:v>1</c:v>
                </c:pt>
                <c:pt idx="285">
                  <c:v>2</c:v>
                </c:pt>
                <c:pt idx="286">
                  <c:v>3</c:v>
                </c:pt>
                <c:pt idx="287">
                  <c:v>4</c:v>
                </c:pt>
                <c:pt idx="288">
                  <c:v>5</c:v>
                </c:pt>
                <c:pt idx="289">
                  <c:v>6</c:v>
                </c:pt>
                <c:pt idx="290">
                  <c:v>7</c:v>
                </c:pt>
                <c:pt idx="291">
                  <c:v>8</c:v>
                </c:pt>
                <c:pt idx="292">
                  <c:v>9</c:v>
                </c:pt>
                <c:pt idx="293">
                  <c:v>10</c:v>
                </c:pt>
                <c:pt idx="296">
                  <c:v>1</c:v>
                </c:pt>
                <c:pt idx="297">
                  <c:v>2</c:v>
                </c:pt>
                <c:pt idx="298">
                  <c:v>3</c:v>
                </c:pt>
                <c:pt idx="299">
                  <c:v>4</c:v>
                </c:pt>
                <c:pt idx="300">
                  <c:v>5</c:v>
                </c:pt>
                <c:pt idx="301">
                  <c:v>6</c:v>
                </c:pt>
                <c:pt idx="302">
                  <c:v>7</c:v>
                </c:pt>
                <c:pt idx="303">
                  <c:v>8</c:v>
                </c:pt>
                <c:pt idx="304">
                  <c:v>9</c:v>
                </c:pt>
                <c:pt idx="305">
                  <c:v>10</c:v>
                </c:pt>
                <c:pt idx="308">
                  <c:v>1</c:v>
                </c:pt>
                <c:pt idx="309">
                  <c:v>2</c:v>
                </c:pt>
                <c:pt idx="310">
                  <c:v>3</c:v>
                </c:pt>
                <c:pt idx="311">
                  <c:v>4</c:v>
                </c:pt>
                <c:pt idx="312">
                  <c:v>5</c:v>
                </c:pt>
                <c:pt idx="313">
                  <c:v>6</c:v>
                </c:pt>
                <c:pt idx="314">
                  <c:v>7</c:v>
                </c:pt>
                <c:pt idx="315">
                  <c:v>8</c:v>
                </c:pt>
                <c:pt idx="316">
                  <c:v>9</c:v>
                </c:pt>
                <c:pt idx="317">
                  <c:v>10</c:v>
                </c:pt>
                <c:pt idx="321">
                  <c:v>1</c:v>
                </c:pt>
                <c:pt idx="322">
                  <c:v>2</c:v>
                </c:pt>
                <c:pt idx="323">
                  <c:v>3</c:v>
                </c:pt>
                <c:pt idx="324">
                  <c:v>4</c:v>
                </c:pt>
                <c:pt idx="325">
                  <c:v>5</c:v>
                </c:pt>
                <c:pt idx="326">
                  <c:v>6</c:v>
                </c:pt>
                <c:pt idx="327">
                  <c:v>7</c:v>
                </c:pt>
                <c:pt idx="328">
                  <c:v>8</c:v>
                </c:pt>
                <c:pt idx="329">
                  <c:v>9</c:v>
                </c:pt>
                <c:pt idx="330">
                  <c:v>10</c:v>
                </c:pt>
                <c:pt idx="333">
                  <c:v>1</c:v>
                </c:pt>
                <c:pt idx="334">
                  <c:v>2</c:v>
                </c:pt>
                <c:pt idx="335">
                  <c:v>3</c:v>
                </c:pt>
                <c:pt idx="336">
                  <c:v>4</c:v>
                </c:pt>
                <c:pt idx="337">
                  <c:v>5</c:v>
                </c:pt>
                <c:pt idx="338">
                  <c:v>6</c:v>
                </c:pt>
                <c:pt idx="339">
                  <c:v>7</c:v>
                </c:pt>
                <c:pt idx="340">
                  <c:v>8</c:v>
                </c:pt>
                <c:pt idx="341">
                  <c:v>9</c:v>
                </c:pt>
                <c:pt idx="342">
                  <c:v>10</c:v>
                </c:pt>
                <c:pt idx="346">
                  <c:v>1</c:v>
                </c:pt>
                <c:pt idx="347">
                  <c:v>2</c:v>
                </c:pt>
                <c:pt idx="348">
                  <c:v>3</c:v>
                </c:pt>
                <c:pt idx="349">
                  <c:v>4</c:v>
                </c:pt>
                <c:pt idx="350">
                  <c:v>5</c:v>
                </c:pt>
                <c:pt idx="351">
                  <c:v>6</c:v>
                </c:pt>
                <c:pt idx="352">
                  <c:v>7</c:v>
                </c:pt>
                <c:pt idx="353">
                  <c:v>8</c:v>
                </c:pt>
                <c:pt idx="354">
                  <c:v>9</c:v>
                </c:pt>
                <c:pt idx="355">
                  <c:v>10</c:v>
                </c:pt>
                <c:pt idx="358">
                  <c:v>1</c:v>
                </c:pt>
                <c:pt idx="359">
                  <c:v>2</c:v>
                </c:pt>
                <c:pt idx="360">
                  <c:v>3</c:v>
                </c:pt>
                <c:pt idx="361">
                  <c:v>4</c:v>
                </c:pt>
                <c:pt idx="362">
                  <c:v>5</c:v>
                </c:pt>
                <c:pt idx="363">
                  <c:v>6</c:v>
                </c:pt>
                <c:pt idx="364">
                  <c:v>7</c:v>
                </c:pt>
                <c:pt idx="365">
                  <c:v>8</c:v>
                </c:pt>
                <c:pt idx="366">
                  <c:v>9</c:v>
                </c:pt>
                <c:pt idx="367">
                  <c:v>10</c:v>
                </c:pt>
                <c:pt idx="370">
                  <c:v>1</c:v>
                </c:pt>
                <c:pt idx="371">
                  <c:v>2</c:v>
                </c:pt>
                <c:pt idx="372">
                  <c:v>3</c:v>
                </c:pt>
                <c:pt idx="373">
                  <c:v>4</c:v>
                </c:pt>
                <c:pt idx="374">
                  <c:v>5</c:v>
                </c:pt>
                <c:pt idx="375">
                  <c:v>6</c:v>
                </c:pt>
                <c:pt idx="376">
                  <c:v>7</c:v>
                </c:pt>
                <c:pt idx="377">
                  <c:v>8</c:v>
                </c:pt>
                <c:pt idx="378">
                  <c:v>9</c:v>
                </c:pt>
                <c:pt idx="379">
                  <c:v>10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5</c:v>
                </c:pt>
                <c:pt idx="387">
                  <c:v>6</c:v>
                </c:pt>
                <c:pt idx="388">
                  <c:v>7</c:v>
                </c:pt>
                <c:pt idx="389">
                  <c:v>8</c:v>
                </c:pt>
                <c:pt idx="390">
                  <c:v>9</c:v>
                </c:pt>
                <c:pt idx="391">
                  <c:v>10</c:v>
                </c:pt>
                <c:pt idx="394">
                  <c:v>1</c:v>
                </c:pt>
                <c:pt idx="395">
                  <c:v>2</c:v>
                </c:pt>
                <c:pt idx="396">
                  <c:v>3</c:v>
                </c:pt>
                <c:pt idx="397">
                  <c:v>4</c:v>
                </c:pt>
                <c:pt idx="398">
                  <c:v>5</c:v>
                </c:pt>
                <c:pt idx="399">
                  <c:v>6</c:v>
                </c:pt>
                <c:pt idx="400">
                  <c:v>7</c:v>
                </c:pt>
                <c:pt idx="401">
                  <c:v>8</c:v>
                </c:pt>
                <c:pt idx="402">
                  <c:v>9</c:v>
                </c:pt>
                <c:pt idx="403">
                  <c:v>10</c:v>
                </c:pt>
                <c:pt idx="406">
                  <c:v>1</c:v>
                </c:pt>
                <c:pt idx="407">
                  <c:v>2</c:v>
                </c:pt>
                <c:pt idx="408">
                  <c:v>3</c:v>
                </c:pt>
                <c:pt idx="409">
                  <c:v>4</c:v>
                </c:pt>
                <c:pt idx="410">
                  <c:v>5</c:v>
                </c:pt>
                <c:pt idx="411">
                  <c:v>6</c:v>
                </c:pt>
                <c:pt idx="412">
                  <c:v>7</c:v>
                </c:pt>
                <c:pt idx="413">
                  <c:v>8</c:v>
                </c:pt>
                <c:pt idx="414">
                  <c:v>9</c:v>
                </c:pt>
                <c:pt idx="415">
                  <c:v>10</c:v>
                </c:pt>
                <c:pt idx="418">
                  <c:v>1</c:v>
                </c:pt>
                <c:pt idx="419">
                  <c:v>2</c:v>
                </c:pt>
                <c:pt idx="420">
                  <c:v>3</c:v>
                </c:pt>
                <c:pt idx="421">
                  <c:v>4</c:v>
                </c:pt>
                <c:pt idx="422">
                  <c:v>5</c:v>
                </c:pt>
                <c:pt idx="423">
                  <c:v>6</c:v>
                </c:pt>
                <c:pt idx="424">
                  <c:v>7</c:v>
                </c:pt>
                <c:pt idx="425">
                  <c:v>8</c:v>
                </c:pt>
                <c:pt idx="426">
                  <c:v>9</c:v>
                </c:pt>
                <c:pt idx="427">
                  <c:v>10</c:v>
                </c:pt>
                <c:pt idx="430">
                  <c:v>1</c:v>
                </c:pt>
                <c:pt idx="431">
                  <c:v>2</c:v>
                </c:pt>
                <c:pt idx="432">
                  <c:v>3</c:v>
                </c:pt>
                <c:pt idx="433">
                  <c:v>4</c:v>
                </c:pt>
                <c:pt idx="434">
                  <c:v>5</c:v>
                </c:pt>
                <c:pt idx="435">
                  <c:v>6</c:v>
                </c:pt>
                <c:pt idx="436">
                  <c:v>7</c:v>
                </c:pt>
                <c:pt idx="437">
                  <c:v>8</c:v>
                </c:pt>
                <c:pt idx="438">
                  <c:v>9</c:v>
                </c:pt>
                <c:pt idx="439">
                  <c:v>10</c:v>
                </c:pt>
                <c:pt idx="443">
                  <c:v>1</c:v>
                </c:pt>
                <c:pt idx="444">
                  <c:v>2</c:v>
                </c:pt>
                <c:pt idx="445">
                  <c:v>3</c:v>
                </c:pt>
                <c:pt idx="446">
                  <c:v>4</c:v>
                </c:pt>
                <c:pt idx="447">
                  <c:v>5</c:v>
                </c:pt>
                <c:pt idx="448">
                  <c:v>6</c:v>
                </c:pt>
                <c:pt idx="449">
                  <c:v>7</c:v>
                </c:pt>
                <c:pt idx="450">
                  <c:v>8</c:v>
                </c:pt>
                <c:pt idx="451">
                  <c:v>9</c:v>
                </c:pt>
                <c:pt idx="452">
                  <c:v>10</c:v>
                </c:pt>
                <c:pt idx="454">
                  <c:v>1</c:v>
                </c:pt>
                <c:pt idx="455">
                  <c:v>2</c:v>
                </c:pt>
                <c:pt idx="456">
                  <c:v>3</c:v>
                </c:pt>
                <c:pt idx="457">
                  <c:v>4</c:v>
                </c:pt>
                <c:pt idx="458">
                  <c:v>5</c:v>
                </c:pt>
                <c:pt idx="459">
                  <c:v>6</c:v>
                </c:pt>
                <c:pt idx="460">
                  <c:v>7</c:v>
                </c:pt>
                <c:pt idx="461">
                  <c:v>8</c:v>
                </c:pt>
                <c:pt idx="462">
                  <c:v>9</c:v>
                </c:pt>
                <c:pt idx="463">
                  <c:v>10</c:v>
                </c:pt>
                <c:pt idx="466">
                  <c:v>1</c:v>
                </c:pt>
                <c:pt idx="467">
                  <c:v>2</c:v>
                </c:pt>
                <c:pt idx="468">
                  <c:v>3</c:v>
                </c:pt>
                <c:pt idx="469">
                  <c:v>4</c:v>
                </c:pt>
                <c:pt idx="470">
                  <c:v>5</c:v>
                </c:pt>
                <c:pt idx="471">
                  <c:v>6</c:v>
                </c:pt>
                <c:pt idx="472">
                  <c:v>7</c:v>
                </c:pt>
                <c:pt idx="473">
                  <c:v>8</c:v>
                </c:pt>
                <c:pt idx="474">
                  <c:v>9</c:v>
                </c:pt>
                <c:pt idx="475">
                  <c:v>10</c:v>
                </c:pt>
                <c:pt idx="478">
                  <c:v>1</c:v>
                </c:pt>
                <c:pt idx="479">
                  <c:v>2</c:v>
                </c:pt>
                <c:pt idx="480">
                  <c:v>3</c:v>
                </c:pt>
                <c:pt idx="481">
                  <c:v>4</c:v>
                </c:pt>
                <c:pt idx="482">
                  <c:v>5</c:v>
                </c:pt>
                <c:pt idx="483">
                  <c:v>6</c:v>
                </c:pt>
                <c:pt idx="484">
                  <c:v>7</c:v>
                </c:pt>
                <c:pt idx="485">
                  <c:v>8</c:v>
                </c:pt>
                <c:pt idx="486">
                  <c:v>9</c:v>
                </c:pt>
                <c:pt idx="487">
                  <c:v>10</c:v>
                </c:pt>
                <c:pt idx="491">
                  <c:v>1</c:v>
                </c:pt>
                <c:pt idx="492">
                  <c:v>2</c:v>
                </c:pt>
                <c:pt idx="493">
                  <c:v>3</c:v>
                </c:pt>
                <c:pt idx="494">
                  <c:v>4</c:v>
                </c:pt>
                <c:pt idx="495">
                  <c:v>5</c:v>
                </c:pt>
                <c:pt idx="496">
                  <c:v>6</c:v>
                </c:pt>
                <c:pt idx="497">
                  <c:v>7</c:v>
                </c:pt>
                <c:pt idx="498">
                  <c:v>8</c:v>
                </c:pt>
                <c:pt idx="499">
                  <c:v>9</c:v>
                </c:pt>
                <c:pt idx="500">
                  <c:v>10</c:v>
                </c:pt>
                <c:pt idx="503">
                  <c:v>1</c:v>
                </c:pt>
                <c:pt idx="504">
                  <c:v>2</c:v>
                </c:pt>
                <c:pt idx="505">
                  <c:v>3</c:v>
                </c:pt>
                <c:pt idx="506">
                  <c:v>4</c:v>
                </c:pt>
                <c:pt idx="507">
                  <c:v>5</c:v>
                </c:pt>
                <c:pt idx="508">
                  <c:v>6</c:v>
                </c:pt>
                <c:pt idx="509">
                  <c:v>7</c:v>
                </c:pt>
                <c:pt idx="510">
                  <c:v>8</c:v>
                </c:pt>
                <c:pt idx="511">
                  <c:v>9</c:v>
                </c:pt>
                <c:pt idx="512">
                  <c:v>10</c:v>
                </c:pt>
                <c:pt idx="515">
                  <c:v>1</c:v>
                </c:pt>
                <c:pt idx="516">
                  <c:v>2</c:v>
                </c:pt>
                <c:pt idx="517">
                  <c:v>3</c:v>
                </c:pt>
                <c:pt idx="518">
                  <c:v>4</c:v>
                </c:pt>
                <c:pt idx="519">
                  <c:v>5</c:v>
                </c:pt>
                <c:pt idx="520">
                  <c:v>6</c:v>
                </c:pt>
                <c:pt idx="521">
                  <c:v>7</c:v>
                </c:pt>
                <c:pt idx="522">
                  <c:v>8</c:v>
                </c:pt>
                <c:pt idx="523">
                  <c:v>9</c:v>
                </c:pt>
                <c:pt idx="524">
                  <c:v>10</c:v>
                </c:pt>
                <c:pt idx="527">
                  <c:v>1</c:v>
                </c:pt>
                <c:pt idx="528">
                  <c:v>2</c:v>
                </c:pt>
                <c:pt idx="529">
                  <c:v>3</c:v>
                </c:pt>
                <c:pt idx="530">
                  <c:v>4</c:v>
                </c:pt>
                <c:pt idx="531">
                  <c:v>5</c:v>
                </c:pt>
                <c:pt idx="532">
                  <c:v>6</c:v>
                </c:pt>
                <c:pt idx="533">
                  <c:v>7</c:v>
                </c:pt>
                <c:pt idx="534">
                  <c:v>8</c:v>
                </c:pt>
                <c:pt idx="535">
                  <c:v>9</c:v>
                </c:pt>
                <c:pt idx="536">
                  <c:v>10</c:v>
                </c:pt>
                <c:pt idx="539">
                  <c:v>1</c:v>
                </c:pt>
                <c:pt idx="540">
                  <c:v>2</c:v>
                </c:pt>
                <c:pt idx="541">
                  <c:v>3</c:v>
                </c:pt>
                <c:pt idx="542">
                  <c:v>4</c:v>
                </c:pt>
                <c:pt idx="543">
                  <c:v>5</c:v>
                </c:pt>
                <c:pt idx="544">
                  <c:v>6</c:v>
                </c:pt>
                <c:pt idx="545">
                  <c:v>7</c:v>
                </c:pt>
                <c:pt idx="546">
                  <c:v>8</c:v>
                </c:pt>
                <c:pt idx="547">
                  <c:v>9</c:v>
                </c:pt>
                <c:pt idx="548">
                  <c:v>10</c:v>
                </c:pt>
                <c:pt idx="551">
                  <c:v>1</c:v>
                </c:pt>
                <c:pt idx="552">
                  <c:v>2</c:v>
                </c:pt>
                <c:pt idx="553">
                  <c:v>3</c:v>
                </c:pt>
                <c:pt idx="554">
                  <c:v>4</c:v>
                </c:pt>
                <c:pt idx="555">
                  <c:v>5</c:v>
                </c:pt>
                <c:pt idx="556">
                  <c:v>6</c:v>
                </c:pt>
                <c:pt idx="557">
                  <c:v>7</c:v>
                </c:pt>
                <c:pt idx="558">
                  <c:v>8</c:v>
                </c:pt>
                <c:pt idx="559">
                  <c:v>9</c:v>
                </c:pt>
                <c:pt idx="560">
                  <c:v>10</c:v>
                </c:pt>
                <c:pt idx="563">
                  <c:v>1</c:v>
                </c:pt>
                <c:pt idx="564">
                  <c:v>2</c:v>
                </c:pt>
                <c:pt idx="565">
                  <c:v>3</c:v>
                </c:pt>
                <c:pt idx="566">
                  <c:v>4</c:v>
                </c:pt>
                <c:pt idx="567">
                  <c:v>5</c:v>
                </c:pt>
                <c:pt idx="568">
                  <c:v>6</c:v>
                </c:pt>
                <c:pt idx="569">
                  <c:v>7</c:v>
                </c:pt>
                <c:pt idx="570">
                  <c:v>8</c:v>
                </c:pt>
                <c:pt idx="571">
                  <c:v>9</c:v>
                </c:pt>
                <c:pt idx="572">
                  <c:v>10</c:v>
                </c:pt>
                <c:pt idx="575">
                  <c:v>1</c:v>
                </c:pt>
                <c:pt idx="576">
                  <c:v>2</c:v>
                </c:pt>
                <c:pt idx="577">
                  <c:v>3</c:v>
                </c:pt>
                <c:pt idx="578">
                  <c:v>4</c:v>
                </c:pt>
                <c:pt idx="579">
                  <c:v>5</c:v>
                </c:pt>
                <c:pt idx="580">
                  <c:v>6</c:v>
                </c:pt>
                <c:pt idx="581">
                  <c:v>7</c:v>
                </c:pt>
                <c:pt idx="582">
                  <c:v>8</c:v>
                </c:pt>
                <c:pt idx="583">
                  <c:v>9</c:v>
                </c:pt>
                <c:pt idx="584">
                  <c:v>10</c:v>
                </c:pt>
                <c:pt idx="587">
                  <c:v>1</c:v>
                </c:pt>
                <c:pt idx="588">
                  <c:v>2</c:v>
                </c:pt>
                <c:pt idx="589">
                  <c:v>3</c:v>
                </c:pt>
                <c:pt idx="590">
                  <c:v>4</c:v>
                </c:pt>
                <c:pt idx="591">
                  <c:v>5</c:v>
                </c:pt>
                <c:pt idx="592">
                  <c:v>6</c:v>
                </c:pt>
                <c:pt idx="593">
                  <c:v>7</c:v>
                </c:pt>
                <c:pt idx="594">
                  <c:v>8</c:v>
                </c:pt>
                <c:pt idx="595">
                  <c:v>9</c:v>
                </c:pt>
                <c:pt idx="596">
                  <c:v>10</c:v>
                </c:pt>
                <c:pt idx="599">
                  <c:v>1</c:v>
                </c:pt>
                <c:pt idx="600">
                  <c:v>2</c:v>
                </c:pt>
                <c:pt idx="601">
                  <c:v>3</c:v>
                </c:pt>
                <c:pt idx="602">
                  <c:v>4</c:v>
                </c:pt>
                <c:pt idx="603">
                  <c:v>5</c:v>
                </c:pt>
                <c:pt idx="604">
                  <c:v>6</c:v>
                </c:pt>
                <c:pt idx="605">
                  <c:v>7</c:v>
                </c:pt>
                <c:pt idx="606">
                  <c:v>8</c:v>
                </c:pt>
                <c:pt idx="607">
                  <c:v>9</c:v>
                </c:pt>
                <c:pt idx="608">
                  <c:v>10</c:v>
                </c:pt>
                <c:pt idx="611">
                  <c:v>1</c:v>
                </c:pt>
                <c:pt idx="612">
                  <c:v>2</c:v>
                </c:pt>
                <c:pt idx="613">
                  <c:v>3</c:v>
                </c:pt>
                <c:pt idx="614">
                  <c:v>4</c:v>
                </c:pt>
                <c:pt idx="615">
                  <c:v>5</c:v>
                </c:pt>
                <c:pt idx="616">
                  <c:v>6</c:v>
                </c:pt>
                <c:pt idx="617">
                  <c:v>7</c:v>
                </c:pt>
                <c:pt idx="618">
                  <c:v>8</c:v>
                </c:pt>
                <c:pt idx="619">
                  <c:v>9</c:v>
                </c:pt>
                <c:pt idx="620">
                  <c:v>10</c:v>
                </c:pt>
                <c:pt idx="623">
                  <c:v>1</c:v>
                </c:pt>
                <c:pt idx="624">
                  <c:v>2</c:v>
                </c:pt>
                <c:pt idx="625">
                  <c:v>3</c:v>
                </c:pt>
                <c:pt idx="626">
                  <c:v>4</c:v>
                </c:pt>
                <c:pt idx="627">
                  <c:v>5</c:v>
                </c:pt>
                <c:pt idx="628">
                  <c:v>6</c:v>
                </c:pt>
                <c:pt idx="629">
                  <c:v>7</c:v>
                </c:pt>
                <c:pt idx="630">
                  <c:v>8</c:v>
                </c:pt>
                <c:pt idx="631">
                  <c:v>9</c:v>
                </c:pt>
                <c:pt idx="632">
                  <c:v>10</c:v>
                </c:pt>
                <c:pt idx="635">
                  <c:v>1</c:v>
                </c:pt>
                <c:pt idx="636">
                  <c:v>2</c:v>
                </c:pt>
                <c:pt idx="637">
                  <c:v>3</c:v>
                </c:pt>
                <c:pt idx="638">
                  <c:v>4</c:v>
                </c:pt>
                <c:pt idx="639">
                  <c:v>5</c:v>
                </c:pt>
                <c:pt idx="640">
                  <c:v>6</c:v>
                </c:pt>
                <c:pt idx="641">
                  <c:v>7</c:v>
                </c:pt>
                <c:pt idx="642">
                  <c:v>8</c:v>
                </c:pt>
                <c:pt idx="643">
                  <c:v>9</c:v>
                </c:pt>
                <c:pt idx="644">
                  <c:v>10</c:v>
                </c:pt>
                <c:pt idx="647">
                  <c:v>1</c:v>
                </c:pt>
                <c:pt idx="648">
                  <c:v>2</c:v>
                </c:pt>
                <c:pt idx="649">
                  <c:v>3</c:v>
                </c:pt>
                <c:pt idx="650">
                  <c:v>4</c:v>
                </c:pt>
                <c:pt idx="651">
                  <c:v>5</c:v>
                </c:pt>
                <c:pt idx="652">
                  <c:v>6</c:v>
                </c:pt>
                <c:pt idx="653">
                  <c:v>7</c:v>
                </c:pt>
                <c:pt idx="654">
                  <c:v>8</c:v>
                </c:pt>
                <c:pt idx="655">
                  <c:v>9</c:v>
                </c:pt>
                <c:pt idx="656">
                  <c:v>10</c:v>
                </c:pt>
                <c:pt idx="659">
                  <c:v>1</c:v>
                </c:pt>
                <c:pt idx="660">
                  <c:v>2</c:v>
                </c:pt>
                <c:pt idx="661">
                  <c:v>3</c:v>
                </c:pt>
                <c:pt idx="662">
                  <c:v>4</c:v>
                </c:pt>
                <c:pt idx="663">
                  <c:v>5</c:v>
                </c:pt>
                <c:pt idx="664">
                  <c:v>6</c:v>
                </c:pt>
                <c:pt idx="665">
                  <c:v>7</c:v>
                </c:pt>
                <c:pt idx="666">
                  <c:v>8</c:v>
                </c:pt>
                <c:pt idx="667">
                  <c:v>9</c:v>
                </c:pt>
                <c:pt idx="668">
                  <c:v>10</c:v>
                </c:pt>
                <c:pt idx="671">
                  <c:v>1</c:v>
                </c:pt>
                <c:pt idx="672">
                  <c:v>2</c:v>
                </c:pt>
                <c:pt idx="673">
                  <c:v>3</c:v>
                </c:pt>
                <c:pt idx="674">
                  <c:v>4</c:v>
                </c:pt>
                <c:pt idx="675">
                  <c:v>5</c:v>
                </c:pt>
                <c:pt idx="676">
                  <c:v>6</c:v>
                </c:pt>
                <c:pt idx="677">
                  <c:v>7</c:v>
                </c:pt>
                <c:pt idx="678">
                  <c:v>8</c:v>
                </c:pt>
                <c:pt idx="679">
                  <c:v>9</c:v>
                </c:pt>
                <c:pt idx="680">
                  <c:v>10</c:v>
                </c:pt>
                <c:pt idx="683">
                  <c:v>1</c:v>
                </c:pt>
                <c:pt idx="684">
                  <c:v>2</c:v>
                </c:pt>
                <c:pt idx="685">
                  <c:v>3</c:v>
                </c:pt>
                <c:pt idx="686">
                  <c:v>4</c:v>
                </c:pt>
                <c:pt idx="687">
                  <c:v>5</c:v>
                </c:pt>
                <c:pt idx="688">
                  <c:v>6</c:v>
                </c:pt>
                <c:pt idx="689">
                  <c:v>7</c:v>
                </c:pt>
                <c:pt idx="690">
                  <c:v>8</c:v>
                </c:pt>
                <c:pt idx="691">
                  <c:v>9</c:v>
                </c:pt>
                <c:pt idx="692">
                  <c:v>10</c:v>
                </c:pt>
                <c:pt idx="695">
                  <c:v>1</c:v>
                </c:pt>
                <c:pt idx="696">
                  <c:v>2</c:v>
                </c:pt>
                <c:pt idx="697">
                  <c:v>3</c:v>
                </c:pt>
                <c:pt idx="698">
                  <c:v>4</c:v>
                </c:pt>
                <c:pt idx="699">
                  <c:v>5</c:v>
                </c:pt>
                <c:pt idx="700">
                  <c:v>6</c:v>
                </c:pt>
                <c:pt idx="701">
                  <c:v>7</c:v>
                </c:pt>
                <c:pt idx="702">
                  <c:v>8</c:v>
                </c:pt>
                <c:pt idx="703">
                  <c:v>9</c:v>
                </c:pt>
                <c:pt idx="704">
                  <c:v>10</c:v>
                </c:pt>
                <c:pt idx="707">
                  <c:v>1</c:v>
                </c:pt>
                <c:pt idx="708">
                  <c:v>2</c:v>
                </c:pt>
                <c:pt idx="709">
                  <c:v>3</c:v>
                </c:pt>
                <c:pt idx="710">
                  <c:v>4</c:v>
                </c:pt>
                <c:pt idx="711">
                  <c:v>5</c:v>
                </c:pt>
                <c:pt idx="712">
                  <c:v>6</c:v>
                </c:pt>
                <c:pt idx="713">
                  <c:v>7</c:v>
                </c:pt>
                <c:pt idx="714">
                  <c:v>8</c:v>
                </c:pt>
                <c:pt idx="715">
                  <c:v>9</c:v>
                </c:pt>
                <c:pt idx="716">
                  <c:v>10</c:v>
                </c:pt>
                <c:pt idx="719">
                  <c:v>1</c:v>
                </c:pt>
                <c:pt idx="720">
                  <c:v>2</c:v>
                </c:pt>
                <c:pt idx="721">
                  <c:v>3</c:v>
                </c:pt>
                <c:pt idx="722">
                  <c:v>4</c:v>
                </c:pt>
                <c:pt idx="723">
                  <c:v>5</c:v>
                </c:pt>
                <c:pt idx="724">
                  <c:v>6</c:v>
                </c:pt>
                <c:pt idx="725">
                  <c:v>7</c:v>
                </c:pt>
                <c:pt idx="726">
                  <c:v>8</c:v>
                </c:pt>
                <c:pt idx="727">
                  <c:v>9</c:v>
                </c:pt>
                <c:pt idx="728">
                  <c:v>10</c:v>
                </c:pt>
                <c:pt idx="731">
                  <c:v>1</c:v>
                </c:pt>
                <c:pt idx="732">
                  <c:v>2</c:v>
                </c:pt>
                <c:pt idx="733">
                  <c:v>3</c:v>
                </c:pt>
                <c:pt idx="734">
                  <c:v>4</c:v>
                </c:pt>
                <c:pt idx="735">
                  <c:v>5</c:v>
                </c:pt>
                <c:pt idx="736">
                  <c:v>6</c:v>
                </c:pt>
                <c:pt idx="737">
                  <c:v>7</c:v>
                </c:pt>
                <c:pt idx="738">
                  <c:v>8</c:v>
                </c:pt>
                <c:pt idx="739">
                  <c:v>9</c:v>
                </c:pt>
                <c:pt idx="740">
                  <c:v>10</c:v>
                </c:pt>
                <c:pt idx="743">
                  <c:v>1</c:v>
                </c:pt>
                <c:pt idx="744">
                  <c:v>2</c:v>
                </c:pt>
                <c:pt idx="745">
                  <c:v>3</c:v>
                </c:pt>
                <c:pt idx="746">
                  <c:v>4</c:v>
                </c:pt>
                <c:pt idx="747">
                  <c:v>5</c:v>
                </c:pt>
                <c:pt idx="748">
                  <c:v>6</c:v>
                </c:pt>
                <c:pt idx="749">
                  <c:v>7</c:v>
                </c:pt>
                <c:pt idx="750">
                  <c:v>8</c:v>
                </c:pt>
                <c:pt idx="751">
                  <c:v>9</c:v>
                </c:pt>
                <c:pt idx="752">
                  <c:v>10</c:v>
                </c:pt>
                <c:pt idx="755">
                  <c:v>1</c:v>
                </c:pt>
                <c:pt idx="756">
                  <c:v>2</c:v>
                </c:pt>
                <c:pt idx="757">
                  <c:v>3</c:v>
                </c:pt>
                <c:pt idx="758">
                  <c:v>4</c:v>
                </c:pt>
                <c:pt idx="759">
                  <c:v>5</c:v>
                </c:pt>
                <c:pt idx="760">
                  <c:v>6</c:v>
                </c:pt>
                <c:pt idx="761">
                  <c:v>7</c:v>
                </c:pt>
                <c:pt idx="762">
                  <c:v>8</c:v>
                </c:pt>
                <c:pt idx="763">
                  <c:v>9</c:v>
                </c:pt>
                <c:pt idx="764">
                  <c:v>10</c:v>
                </c:pt>
                <c:pt idx="767">
                  <c:v>1</c:v>
                </c:pt>
                <c:pt idx="768">
                  <c:v>2</c:v>
                </c:pt>
                <c:pt idx="769">
                  <c:v>3</c:v>
                </c:pt>
                <c:pt idx="770">
                  <c:v>4</c:v>
                </c:pt>
                <c:pt idx="771">
                  <c:v>5</c:v>
                </c:pt>
                <c:pt idx="772">
                  <c:v>6</c:v>
                </c:pt>
                <c:pt idx="773">
                  <c:v>7</c:v>
                </c:pt>
                <c:pt idx="774">
                  <c:v>8</c:v>
                </c:pt>
                <c:pt idx="775">
                  <c:v>9</c:v>
                </c:pt>
                <c:pt idx="776">
                  <c:v>10</c:v>
                </c:pt>
                <c:pt idx="779">
                  <c:v>1</c:v>
                </c:pt>
                <c:pt idx="780">
                  <c:v>2</c:v>
                </c:pt>
                <c:pt idx="781">
                  <c:v>3</c:v>
                </c:pt>
                <c:pt idx="782">
                  <c:v>4</c:v>
                </c:pt>
                <c:pt idx="783">
                  <c:v>5</c:v>
                </c:pt>
                <c:pt idx="784">
                  <c:v>6</c:v>
                </c:pt>
                <c:pt idx="785">
                  <c:v>7</c:v>
                </c:pt>
                <c:pt idx="786">
                  <c:v>8</c:v>
                </c:pt>
                <c:pt idx="787">
                  <c:v>9</c:v>
                </c:pt>
                <c:pt idx="788">
                  <c:v>10</c:v>
                </c:pt>
                <c:pt idx="791">
                  <c:v>1</c:v>
                </c:pt>
                <c:pt idx="792">
                  <c:v>2</c:v>
                </c:pt>
                <c:pt idx="793">
                  <c:v>3</c:v>
                </c:pt>
                <c:pt idx="794">
                  <c:v>4</c:v>
                </c:pt>
                <c:pt idx="795">
                  <c:v>5</c:v>
                </c:pt>
                <c:pt idx="796">
                  <c:v>6</c:v>
                </c:pt>
                <c:pt idx="797">
                  <c:v>7</c:v>
                </c:pt>
                <c:pt idx="798">
                  <c:v>8</c:v>
                </c:pt>
                <c:pt idx="799">
                  <c:v>9</c:v>
                </c:pt>
                <c:pt idx="800">
                  <c:v>10</c:v>
                </c:pt>
                <c:pt idx="803">
                  <c:v>1</c:v>
                </c:pt>
                <c:pt idx="804">
                  <c:v>2</c:v>
                </c:pt>
                <c:pt idx="805">
                  <c:v>3</c:v>
                </c:pt>
                <c:pt idx="806">
                  <c:v>4</c:v>
                </c:pt>
                <c:pt idx="807">
                  <c:v>5</c:v>
                </c:pt>
                <c:pt idx="808">
                  <c:v>6</c:v>
                </c:pt>
                <c:pt idx="809">
                  <c:v>7</c:v>
                </c:pt>
                <c:pt idx="810">
                  <c:v>8</c:v>
                </c:pt>
                <c:pt idx="811">
                  <c:v>9</c:v>
                </c:pt>
                <c:pt idx="812">
                  <c:v>10</c:v>
                </c:pt>
                <c:pt idx="814">
                  <c:v>1</c:v>
                </c:pt>
                <c:pt idx="815">
                  <c:v>2</c:v>
                </c:pt>
                <c:pt idx="816">
                  <c:v>3</c:v>
                </c:pt>
                <c:pt idx="817">
                  <c:v>4</c:v>
                </c:pt>
                <c:pt idx="818">
                  <c:v>5</c:v>
                </c:pt>
                <c:pt idx="819">
                  <c:v>6</c:v>
                </c:pt>
                <c:pt idx="820">
                  <c:v>7</c:v>
                </c:pt>
                <c:pt idx="821">
                  <c:v>8</c:v>
                </c:pt>
                <c:pt idx="822">
                  <c:v>9</c:v>
                </c:pt>
                <c:pt idx="823">
                  <c:v>10</c:v>
                </c:pt>
                <c:pt idx="826">
                  <c:v>1</c:v>
                </c:pt>
                <c:pt idx="827">
                  <c:v>2</c:v>
                </c:pt>
                <c:pt idx="828">
                  <c:v>3</c:v>
                </c:pt>
                <c:pt idx="829">
                  <c:v>4</c:v>
                </c:pt>
                <c:pt idx="830">
                  <c:v>5</c:v>
                </c:pt>
                <c:pt idx="831">
                  <c:v>6</c:v>
                </c:pt>
                <c:pt idx="832">
                  <c:v>7</c:v>
                </c:pt>
                <c:pt idx="833">
                  <c:v>8</c:v>
                </c:pt>
                <c:pt idx="834">
                  <c:v>9</c:v>
                </c:pt>
                <c:pt idx="835">
                  <c:v>10</c:v>
                </c:pt>
                <c:pt idx="838">
                  <c:v>1</c:v>
                </c:pt>
                <c:pt idx="839">
                  <c:v>2</c:v>
                </c:pt>
                <c:pt idx="840">
                  <c:v>3</c:v>
                </c:pt>
                <c:pt idx="841">
                  <c:v>4</c:v>
                </c:pt>
                <c:pt idx="842">
                  <c:v>5</c:v>
                </c:pt>
                <c:pt idx="843">
                  <c:v>6</c:v>
                </c:pt>
                <c:pt idx="844">
                  <c:v>7</c:v>
                </c:pt>
                <c:pt idx="845">
                  <c:v>8</c:v>
                </c:pt>
                <c:pt idx="846">
                  <c:v>9</c:v>
                </c:pt>
                <c:pt idx="847">
                  <c:v>10</c:v>
                </c:pt>
                <c:pt idx="850">
                  <c:v>1</c:v>
                </c:pt>
                <c:pt idx="851">
                  <c:v>2</c:v>
                </c:pt>
                <c:pt idx="852">
                  <c:v>3</c:v>
                </c:pt>
                <c:pt idx="853">
                  <c:v>4</c:v>
                </c:pt>
                <c:pt idx="854">
                  <c:v>5</c:v>
                </c:pt>
                <c:pt idx="855">
                  <c:v>6</c:v>
                </c:pt>
                <c:pt idx="856">
                  <c:v>7</c:v>
                </c:pt>
                <c:pt idx="857">
                  <c:v>8</c:v>
                </c:pt>
                <c:pt idx="858">
                  <c:v>9</c:v>
                </c:pt>
                <c:pt idx="859">
                  <c:v>10</c:v>
                </c:pt>
                <c:pt idx="862">
                  <c:v>1</c:v>
                </c:pt>
                <c:pt idx="863">
                  <c:v>2</c:v>
                </c:pt>
                <c:pt idx="864">
                  <c:v>3</c:v>
                </c:pt>
                <c:pt idx="865">
                  <c:v>4</c:v>
                </c:pt>
                <c:pt idx="866">
                  <c:v>5</c:v>
                </c:pt>
                <c:pt idx="867">
                  <c:v>6</c:v>
                </c:pt>
                <c:pt idx="868">
                  <c:v>7</c:v>
                </c:pt>
                <c:pt idx="869">
                  <c:v>8</c:v>
                </c:pt>
                <c:pt idx="870">
                  <c:v>9</c:v>
                </c:pt>
                <c:pt idx="871">
                  <c:v>10</c:v>
                </c:pt>
                <c:pt idx="874">
                  <c:v>1</c:v>
                </c:pt>
                <c:pt idx="875">
                  <c:v>2</c:v>
                </c:pt>
                <c:pt idx="876">
                  <c:v>3</c:v>
                </c:pt>
                <c:pt idx="877">
                  <c:v>4</c:v>
                </c:pt>
                <c:pt idx="878">
                  <c:v>5</c:v>
                </c:pt>
                <c:pt idx="879">
                  <c:v>6</c:v>
                </c:pt>
                <c:pt idx="880">
                  <c:v>7</c:v>
                </c:pt>
                <c:pt idx="881">
                  <c:v>8</c:v>
                </c:pt>
                <c:pt idx="882">
                  <c:v>9</c:v>
                </c:pt>
                <c:pt idx="883">
                  <c:v>10</c:v>
                </c:pt>
                <c:pt idx="886">
                  <c:v>1</c:v>
                </c:pt>
                <c:pt idx="887">
                  <c:v>2</c:v>
                </c:pt>
                <c:pt idx="888">
                  <c:v>3</c:v>
                </c:pt>
                <c:pt idx="889">
                  <c:v>4</c:v>
                </c:pt>
                <c:pt idx="890">
                  <c:v>5</c:v>
                </c:pt>
                <c:pt idx="891">
                  <c:v>6</c:v>
                </c:pt>
                <c:pt idx="892">
                  <c:v>7</c:v>
                </c:pt>
                <c:pt idx="893">
                  <c:v>8</c:v>
                </c:pt>
                <c:pt idx="894">
                  <c:v>9</c:v>
                </c:pt>
                <c:pt idx="895">
                  <c:v>10</c:v>
                </c:pt>
                <c:pt idx="898">
                  <c:v>1</c:v>
                </c:pt>
                <c:pt idx="899">
                  <c:v>2</c:v>
                </c:pt>
                <c:pt idx="900">
                  <c:v>3</c:v>
                </c:pt>
                <c:pt idx="901">
                  <c:v>4</c:v>
                </c:pt>
                <c:pt idx="902">
                  <c:v>5</c:v>
                </c:pt>
                <c:pt idx="903">
                  <c:v>6</c:v>
                </c:pt>
                <c:pt idx="904">
                  <c:v>7</c:v>
                </c:pt>
                <c:pt idx="905">
                  <c:v>8</c:v>
                </c:pt>
                <c:pt idx="906">
                  <c:v>9</c:v>
                </c:pt>
                <c:pt idx="907">
                  <c:v>10</c:v>
                </c:pt>
                <c:pt idx="910">
                  <c:v>1</c:v>
                </c:pt>
                <c:pt idx="911">
                  <c:v>2</c:v>
                </c:pt>
                <c:pt idx="912">
                  <c:v>3</c:v>
                </c:pt>
                <c:pt idx="913">
                  <c:v>4</c:v>
                </c:pt>
                <c:pt idx="914">
                  <c:v>5</c:v>
                </c:pt>
                <c:pt idx="915">
                  <c:v>6</c:v>
                </c:pt>
                <c:pt idx="916">
                  <c:v>7</c:v>
                </c:pt>
                <c:pt idx="917">
                  <c:v>8</c:v>
                </c:pt>
                <c:pt idx="918">
                  <c:v>9</c:v>
                </c:pt>
                <c:pt idx="919">
                  <c:v>10</c:v>
                </c:pt>
                <c:pt idx="923">
                  <c:v>1</c:v>
                </c:pt>
                <c:pt idx="924">
                  <c:v>2</c:v>
                </c:pt>
                <c:pt idx="925">
                  <c:v>3</c:v>
                </c:pt>
                <c:pt idx="926">
                  <c:v>4</c:v>
                </c:pt>
                <c:pt idx="927">
                  <c:v>5</c:v>
                </c:pt>
                <c:pt idx="928">
                  <c:v>6</c:v>
                </c:pt>
                <c:pt idx="929">
                  <c:v>7</c:v>
                </c:pt>
                <c:pt idx="930">
                  <c:v>8</c:v>
                </c:pt>
                <c:pt idx="931">
                  <c:v>9</c:v>
                </c:pt>
                <c:pt idx="932">
                  <c:v>10</c:v>
                </c:pt>
              </c:numCache>
            </c:numRef>
          </c:xVal>
          <c:yVal>
            <c:numRef>
              <c:f>Sheet1!$C$2:$C$934</c:f>
              <c:numCache>
                <c:formatCode>0.00</c:formatCode>
                <c:ptCount val="933"/>
                <c:pt idx="0">
                  <c:v>9337.1508823651147</c:v>
                </c:pt>
                <c:pt idx="1">
                  <c:v>5541.040651756839</c:v>
                </c:pt>
                <c:pt idx="2">
                  <c:v>-5995.3330345436934</c:v>
                </c:pt>
                <c:pt idx="3">
                  <c:v>-1666.619439141637</c:v>
                </c:pt>
                <c:pt idx="4">
                  <c:v>1592.8256833844789</c:v>
                </c:pt>
                <c:pt idx="5">
                  <c:v>-6108.2136605965752</c:v>
                </c:pt>
                <c:pt idx="6">
                  <c:v>-1490.8104000354519</c:v>
                </c:pt>
                <c:pt idx="7">
                  <c:v>3216.4298431710922</c:v>
                </c:pt>
                <c:pt idx="8">
                  <c:v>-3633.2018091378941</c:v>
                </c:pt>
                <c:pt idx="9">
                  <c:v>-793.268717222242</c:v>
                </c:pt>
                <c:pt idx="12">
                  <c:v>5760.8525422413359</c:v>
                </c:pt>
                <c:pt idx="13">
                  <c:v>1666.68885439732</c:v>
                </c:pt>
                <c:pt idx="14">
                  <c:v>121.45008851114309</c:v>
                </c:pt>
                <c:pt idx="15">
                  <c:v>-1816.636282463146</c:v>
                </c:pt>
                <c:pt idx="16">
                  <c:v>-4171.4160399100947</c:v>
                </c:pt>
                <c:pt idx="17">
                  <c:v>-2962.967741328891</c:v>
                </c:pt>
                <c:pt idx="18">
                  <c:v>-1155.514934714904</c:v>
                </c:pt>
                <c:pt idx="19">
                  <c:v>-1839.708077035009</c:v>
                </c:pt>
                <c:pt idx="20">
                  <c:v>1576.2943315350201</c:v>
                </c:pt>
                <c:pt idx="21">
                  <c:v>2820.9572587677239</c:v>
                </c:pt>
                <c:pt idx="25">
                  <c:v>-5709.5080332521638</c:v>
                </c:pt>
                <c:pt idx="26">
                  <c:v>530.07452323435552</c:v>
                </c:pt>
                <c:pt idx="27">
                  <c:v>317.8524644972145</c:v>
                </c:pt>
                <c:pt idx="28">
                  <c:v>6115.9852297943808</c:v>
                </c:pt>
                <c:pt idx="29">
                  <c:v>7229.6343361661711</c:v>
                </c:pt>
                <c:pt idx="30">
                  <c:v>-613.48491649645075</c:v>
                </c:pt>
                <c:pt idx="31">
                  <c:v>-5956.7203902625142</c:v>
                </c:pt>
                <c:pt idx="32">
                  <c:v>946.46311951470091</c:v>
                </c:pt>
                <c:pt idx="33">
                  <c:v>-3469.1048871767421</c:v>
                </c:pt>
                <c:pt idx="34">
                  <c:v>608.8085539802471</c:v>
                </c:pt>
                <c:pt idx="37">
                  <c:v>-5192.5742875782043</c:v>
                </c:pt>
                <c:pt idx="38">
                  <c:v>-5175.6848671710286</c:v>
                </c:pt>
                <c:pt idx="39">
                  <c:v>4576.2955875046982</c:v>
                </c:pt>
                <c:pt idx="40">
                  <c:v>5764.2131426529713</c:v>
                </c:pt>
                <c:pt idx="41">
                  <c:v>-2846.324166750212</c:v>
                </c:pt>
                <c:pt idx="42">
                  <c:v>-343.40147390983537</c:v>
                </c:pt>
                <c:pt idx="43">
                  <c:v>9412.3954974127882</c:v>
                </c:pt>
                <c:pt idx="44">
                  <c:v>-4296.7407407395121</c:v>
                </c:pt>
                <c:pt idx="45">
                  <c:v>1575.1332855133039</c:v>
                </c:pt>
                <c:pt idx="46">
                  <c:v>-3473.3119769350278</c:v>
                </c:pt>
                <c:pt idx="49">
                  <c:v>-6009.8994898134379</c:v>
                </c:pt>
                <c:pt idx="50">
                  <c:v>-6699.0638076035657</c:v>
                </c:pt>
                <c:pt idx="51">
                  <c:v>-4289.026602432662</c:v>
                </c:pt>
                <c:pt idx="52">
                  <c:v>-3436.5439479409679</c:v>
                </c:pt>
                <c:pt idx="53">
                  <c:v>8327.4247174375105</c:v>
                </c:pt>
                <c:pt idx="54">
                  <c:v>4604.1336014929684</c:v>
                </c:pt>
                <c:pt idx="55">
                  <c:v>-540.42233017428271</c:v>
                </c:pt>
                <c:pt idx="56">
                  <c:v>-1363.863158615231</c:v>
                </c:pt>
                <c:pt idx="57">
                  <c:v>6694.5281252863297</c:v>
                </c:pt>
                <c:pt idx="58">
                  <c:v>2712.7328923631421</c:v>
                </c:pt>
                <c:pt idx="61">
                  <c:v>-2522.5424368177378</c:v>
                </c:pt>
                <c:pt idx="62">
                  <c:v>-3433.3175586345251</c:v>
                </c:pt>
                <c:pt idx="63">
                  <c:v>1261.050678290934</c:v>
                </c:pt>
                <c:pt idx="64">
                  <c:v>-3966.7026491129018</c:v>
                </c:pt>
                <c:pt idx="65">
                  <c:v>-4155.5818396269042</c:v>
                </c:pt>
                <c:pt idx="66">
                  <c:v>6553.7798036502454</c:v>
                </c:pt>
                <c:pt idx="67">
                  <c:v>2883.0695666739548</c:v>
                </c:pt>
                <c:pt idx="68">
                  <c:v>2479.1293225757372</c:v>
                </c:pt>
                <c:pt idx="69">
                  <c:v>-2425.1657448918322</c:v>
                </c:pt>
                <c:pt idx="70">
                  <c:v>3326.2808578924678</c:v>
                </c:pt>
                <c:pt idx="73">
                  <c:v>13406.13244517949</c:v>
                </c:pt>
                <c:pt idx="74">
                  <c:v>870.56543580413791</c:v>
                </c:pt>
                <c:pt idx="75">
                  <c:v>-6882.1312700112021</c:v>
                </c:pt>
                <c:pt idx="76">
                  <c:v>-2528.1164255122439</c:v>
                </c:pt>
                <c:pt idx="77">
                  <c:v>-5090.8065626859789</c:v>
                </c:pt>
                <c:pt idx="78">
                  <c:v>-1492.240699357448</c:v>
                </c:pt>
                <c:pt idx="79">
                  <c:v>-923.35277737838533</c:v>
                </c:pt>
                <c:pt idx="80">
                  <c:v>1071.7745986418061</c:v>
                </c:pt>
                <c:pt idx="81">
                  <c:v>3582.6123212437478</c:v>
                </c:pt>
                <c:pt idx="82">
                  <c:v>-2014.437065923307</c:v>
                </c:pt>
                <c:pt idx="85">
                  <c:v>8573.571471916357</c:v>
                </c:pt>
                <c:pt idx="86">
                  <c:v>-3622.79495321282</c:v>
                </c:pt>
                <c:pt idx="87">
                  <c:v>-1199.012550250487</c:v>
                </c:pt>
                <c:pt idx="88">
                  <c:v>-56.481070292173833</c:v>
                </c:pt>
                <c:pt idx="89">
                  <c:v>-3412.1771736670971</c:v>
                </c:pt>
                <c:pt idx="90">
                  <c:v>164.53183940156549</c:v>
                </c:pt>
                <c:pt idx="91">
                  <c:v>-3523.8410832512709</c:v>
                </c:pt>
                <c:pt idx="92">
                  <c:v>916.10937365517486</c:v>
                </c:pt>
                <c:pt idx="93">
                  <c:v>3040.496819694079</c:v>
                </c:pt>
                <c:pt idx="94">
                  <c:v>-880.40267399253639</c:v>
                </c:pt>
                <c:pt idx="97">
                  <c:v>9607.4010524000259</c:v>
                </c:pt>
                <c:pt idx="98">
                  <c:v>5515.8046786248642</c:v>
                </c:pt>
                <c:pt idx="99">
                  <c:v>-1938.66421968957</c:v>
                </c:pt>
                <c:pt idx="100">
                  <c:v>1897.179147600169</c:v>
                </c:pt>
                <c:pt idx="101">
                  <c:v>-4064.0898534172579</c:v>
                </c:pt>
                <c:pt idx="102">
                  <c:v>4522.03567490763</c:v>
                </c:pt>
                <c:pt idx="103">
                  <c:v>431.78544698897571</c:v>
                </c:pt>
                <c:pt idx="104">
                  <c:v>-8782.0166007075586</c:v>
                </c:pt>
                <c:pt idx="105">
                  <c:v>-2966.1848117545542</c:v>
                </c:pt>
                <c:pt idx="106">
                  <c:v>-4223.2505149529816</c:v>
                </c:pt>
                <c:pt idx="109">
                  <c:v>-7992.4991412602994</c:v>
                </c:pt>
                <c:pt idx="110">
                  <c:v>3097.3605875987878</c:v>
                </c:pt>
                <c:pt idx="111">
                  <c:v>-7620.8990366769931</c:v>
                </c:pt>
                <c:pt idx="112">
                  <c:v>1472.9303418518989</c:v>
                </c:pt>
                <c:pt idx="113">
                  <c:v>-4384.5325197986258</c:v>
                </c:pt>
                <c:pt idx="114">
                  <c:v>-1453.59631853519</c:v>
                </c:pt>
                <c:pt idx="115">
                  <c:v>10885.80718386415</c:v>
                </c:pt>
                <c:pt idx="116">
                  <c:v>3509.5244044942419</c:v>
                </c:pt>
                <c:pt idx="117">
                  <c:v>1598.2208388911531</c:v>
                </c:pt>
                <c:pt idx="118">
                  <c:v>887.68365956932655</c:v>
                </c:pt>
                <c:pt idx="121">
                  <c:v>-6028.6600681983446</c:v>
                </c:pt>
                <c:pt idx="122">
                  <c:v>-3462.0792240393089</c:v>
                </c:pt>
                <c:pt idx="123">
                  <c:v>-5611.8970136831458</c:v>
                </c:pt>
                <c:pt idx="124">
                  <c:v>5936.733977112538</c:v>
                </c:pt>
                <c:pt idx="125">
                  <c:v>922.89192885074181</c:v>
                </c:pt>
                <c:pt idx="126">
                  <c:v>-558.57491632284439</c:v>
                </c:pt>
                <c:pt idx="127">
                  <c:v>8115.3663019698433</c:v>
                </c:pt>
                <c:pt idx="128">
                  <c:v>6699.6667335872198</c:v>
                </c:pt>
                <c:pt idx="129">
                  <c:v>-1650.5105203051919</c:v>
                </c:pt>
                <c:pt idx="130">
                  <c:v>-4362.9371989711226</c:v>
                </c:pt>
                <c:pt idx="133">
                  <c:v>12816.88874882148</c:v>
                </c:pt>
                <c:pt idx="134">
                  <c:v>-3184.7642605993001</c:v>
                </c:pt>
                <c:pt idx="135">
                  <c:v>2443.6016418776612</c:v>
                </c:pt>
                <c:pt idx="136">
                  <c:v>-4204.5078479037529</c:v>
                </c:pt>
                <c:pt idx="137">
                  <c:v>-3170.6019902990101</c:v>
                </c:pt>
                <c:pt idx="138">
                  <c:v>2612.5157750327112</c:v>
                </c:pt>
                <c:pt idx="139">
                  <c:v>3725.083079204072</c:v>
                </c:pt>
                <c:pt idx="140">
                  <c:v>-4657.0201179516371</c:v>
                </c:pt>
                <c:pt idx="141">
                  <c:v>-3359.838148630909</c:v>
                </c:pt>
                <c:pt idx="142">
                  <c:v>-3021.3568795508982</c:v>
                </c:pt>
                <c:pt idx="145">
                  <c:v>5692.3563551833176</c:v>
                </c:pt>
                <c:pt idx="146">
                  <c:v>2158.3679353676289</c:v>
                </c:pt>
                <c:pt idx="147">
                  <c:v>7176.2940836739208</c:v>
                </c:pt>
                <c:pt idx="148">
                  <c:v>-5844.5040955736586</c:v>
                </c:pt>
                <c:pt idx="149">
                  <c:v>-3007.5623492148752</c:v>
                </c:pt>
                <c:pt idx="150">
                  <c:v>-4453.8908755334342</c:v>
                </c:pt>
                <c:pt idx="151">
                  <c:v>-202.69648572596981</c:v>
                </c:pt>
                <c:pt idx="152">
                  <c:v>5369.5196154439709</c:v>
                </c:pt>
                <c:pt idx="153">
                  <c:v>-2266.2462606431191</c:v>
                </c:pt>
                <c:pt idx="154">
                  <c:v>-4621.6379229788236</c:v>
                </c:pt>
                <c:pt idx="157">
                  <c:v>-4949.5876111226617</c:v>
                </c:pt>
                <c:pt idx="158">
                  <c:v>-1690.217190516245</c:v>
                </c:pt>
                <c:pt idx="159">
                  <c:v>7142.5091082960407</c:v>
                </c:pt>
                <c:pt idx="160">
                  <c:v>2752.626280133315</c:v>
                </c:pt>
                <c:pt idx="161">
                  <c:v>2484.2032464591748</c:v>
                </c:pt>
                <c:pt idx="162">
                  <c:v>1260.6207248062881</c:v>
                </c:pt>
                <c:pt idx="163">
                  <c:v>-4427.5859963366338</c:v>
                </c:pt>
                <c:pt idx="164">
                  <c:v>3615.898809813214</c:v>
                </c:pt>
                <c:pt idx="165">
                  <c:v>254.34140654040229</c:v>
                </c:pt>
                <c:pt idx="166">
                  <c:v>-6442.8087780725937</c:v>
                </c:pt>
                <c:pt idx="169">
                  <c:v>-1355.2786021503809</c:v>
                </c:pt>
                <c:pt idx="170">
                  <c:v>2253.6531974353479</c:v>
                </c:pt>
                <c:pt idx="171">
                  <c:v>-1286.6778785937729</c:v>
                </c:pt>
                <c:pt idx="172">
                  <c:v>4872.6362706275559</c:v>
                </c:pt>
                <c:pt idx="173">
                  <c:v>-4165.309572264895</c:v>
                </c:pt>
                <c:pt idx="174">
                  <c:v>8158.9331739744857</c:v>
                </c:pt>
                <c:pt idx="175">
                  <c:v>-1421.1582655761581</c:v>
                </c:pt>
                <c:pt idx="176">
                  <c:v>2019.083882964145</c:v>
                </c:pt>
                <c:pt idx="177">
                  <c:v>-7351.9151910233131</c:v>
                </c:pt>
                <c:pt idx="178">
                  <c:v>-1723.967015393471</c:v>
                </c:pt>
                <c:pt idx="182">
                  <c:v>-6972.3427249109709</c:v>
                </c:pt>
                <c:pt idx="183">
                  <c:v>-3150.2371959515071</c:v>
                </c:pt>
                <c:pt idx="184">
                  <c:v>-4566.1253200776173</c:v>
                </c:pt>
                <c:pt idx="185">
                  <c:v>-4933.1206901253363</c:v>
                </c:pt>
                <c:pt idx="186">
                  <c:v>507.52384318030113</c:v>
                </c:pt>
                <c:pt idx="187">
                  <c:v>9417.8268480192746</c:v>
                </c:pt>
                <c:pt idx="188">
                  <c:v>3180.0223198950389</c:v>
                </c:pt>
                <c:pt idx="189">
                  <c:v>1274.384916716459</c:v>
                </c:pt>
                <c:pt idx="190">
                  <c:v>-2787.3591341717988</c:v>
                </c:pt>
                <c:pt idx="191">
                  <c:v>8029.427137426318</c:v>
                </c:pt>
                <c:pt idx="195">
                  <c:v>10112.181865311361</c:v>
                </c:pt>
                <c:pt idx="196">
                  <c:v>-2176.313773200734</c:v>
                </c:pt>
                <c:pt idx="197">
                  <c:v>-1022.189676962881</c:v>
                </c:pt>
                <c:pt idx="198">
                  <c:v>-4003.8145620147779</c:v>
                </c:pt>
                <c:pt idx="199">
                  <c:v>808.05654732218238</c:v>
                </c:pt>
                <c:pt idx="200">
                  <c:v>-935.58817456004215</c:v>
                </c:pt>
                <c:pt idx="201">
                  <c:v>-2218.9405020502918</c:v>
                </c:pt>
                <c:pt idx="202">
                  <c:v>-802.0257105379884</c:v>
                </c:pt>
                <c:pt idx="203">
                  <c:v>-4987.3827706203756</c:v>
                </c:pt>
                <c:pt idx="204">
                  <c:v>5226.016757313625</c:v>
                </c:pt>
                <c:pt idx="209">
                  <c:v>6042.4629839101563</c:v>
                </c:pt>
                <c:pt idx="210">
                  <c:v>-593.11229506096311</c:v>
                </c:pt>
                <c:pt idx="211">
                  <c:v>-6439.7090447783594</c:v>
                </c:pt>
                <c:pt idx="212">
                  <c:v>1169.0542950850779</c:v>
                </c:pt>
                <c:pt idx="213">
                  <c:v>-6115.8598996972278</c:v>
                </c:pt>
                <c:pt idx="214">
                  <c:v>8598.0724547407954</c:v>
                </c:pt>
                <c:pt idx="215">
                  <c:v>-4528.0178415098708</c:v>
                </c:pt>
                <c:pt idx="216">
                  <c:v>-1575.596676481314</c:v>
                </c:pt>
                <c:pt idx="217">
                  <c:v>5506.119593721096</c:v>
                </c:pt>
                <c:pt idx="218">
                  <c:v>-2063.413569930105</c:v>
                </c:pt>
                <c:pt idx="221">
                  <c:v>6495.5981108472979</c:v>
                </c:pt>
                <c:pt idx="222">
                  <c:v>2975.1004617769149</c:v>
                </c:pt>
                <c:pt idx="223">
                  <c:v>-7441.1074320186972</c:v>
                </c:pt>
                <c:pt idx="224">
                  <c:v>157.46474538068441</c:v>
                </c:pt>
                <c:pt idx="225">
                  <c:v>522.0716112405072</c:v>
                </c:pt>
                <c:pt idx="226">
                  <c:v>-6982.2323897168608</c:v>
                </c:pt>
                <c:pt idx="227">
                  <c:v>-1068.526739152388</c:v>
                </c:pt>
                <c:pt idx="228">
                  <c:v>10327.55721909615</c:v>
                </c:pt>
                <c:pt idx="229">
                  <c:v>-2547.3565348183379</c:v>
                </c:pt>
                <c:pt idx="230">
                  <c:v>-2438.5690526355738</c:v>
                </c:pt>
                <c:pt idx="233">
                  <c:v>6431.1710105073798</c:v>
                </c:pt>
                <c:pt idx="234">
                  <c:v>-3719.5178511890449</c:v>
                </c:pt>
                <c:pt idx="235">
                  <c:v>-5014.9244256058273</c:v>
                </c:pt>
                <c:pt idx="236">
                  <c:v>-3690.8050348724591</c:v>
                </c:pt>
                <c:pt idx="237">
                  <c:v>8369.9417684578329</c:v>
                </c:pt>
                <c:pt idx="238">
                  <c:v>-4884.6959735603432</c:v>
                </c:pt>
                <c:pt idx="239">
                  <c:v>-2300.5084551494042</c:v>
                </c:pt>
                <c:pt idx="240">
                  <c:v>2551.9015832450832</c:v>
                </c:pt>
                <c:pt idx="241">
                  <c:v>-2765.23540245198</c:v>
                </c:pt>
                <c:pt idx="242">
                  <c:v>5022.6727806192166</c:v>
                </c:pt>
                <c:pt idx="245">
                  <c:v>17272.228146695528</c:v>
                </c:pt>
                <c:pt idx="246">
                  <c:v>-395.82214787933611</c:v>
                </c:pt>
                <c:pt idx="247">
                  <c:v>-1879.6114590661321</c:v>
                </c:pt>
                <c:pt idx="248">
                  <c:v>-1003.837736008903</c:v>
                </c:pt>
                <c:pt idx="249">
                  <c:v>-3105.4068953651158</c:v>
                </c:pt>
                <c:pt idx="250">
                  <c:v>-1356.7270978756139</c:v>
                </c:pt>
                <c:pt idx="251">
                  <c:v>-2443.18457262845</c:v>
                </c:pt>
                <c:pt idx="252">
                  <c:v>-3121.2606774718802</c:v>
                </c:pt>
                <c:pt idx="253">
                  <c:v>-547.90023807712862</c:v>
                </c:pt>
                <c:pt idx="254">
                  <c:v>-3418.4773223235961</c:v>
                </c:pt>
                <c:pt idx="258">
                  <c:v>-5806.9609612845479</c:v>
                </c:pt>
                <c:pt idx="259">
                  <c:v>-1640.729529059618</c:v>
                </c:pt>
                <c:pt idx="260">
                  <c:v>8731.2958904836687</c:v>
                </c:pt>
                <c:pt idx="261">
                  <c:v>-5310.0750487390478</c:v>
                </c:pt>
                <c:pt idx="262">
                  <c:v>4616.5504837367653</c:v>
                </c:pt>
                <c:pt idx="263">
                  <c:v>200.67640852323939</c:v>
                </c:pt>
                <c:pt idx="264">
                  <c:v>-4044.0058156432392</c:v>
                </c:pt>
                <c:pt idx="265">
                  <c:v>-2373.6052975202779</c:v>
                </c:pt>
                <c:pt idx="266">
                  <c:v>8796.5895539452667</c:v>
                </c:pt>
                <c:pt idx="267">
                  <c:v>-3169.7356844419119</c:v>
                </c:pt>
                <c:pt idx="272">
                  <c:v>1927.8924981979801</c:v>
                </c:pt>
                <c:pt idx="273">
                  <c:v>-3660.3801312138512</c:v>
                </c:pt>
                <c:pt idx="274">
                  <c:v>9065.6869872553016</c:v>
                </c:pt>
                <c:pt idx="275">
                  <c:v>-2255.847578795564</c:v>
                </c:pt>
                <c:pt idx="276">
                  <c:v>341.37859502165168</c:v>
                </c:pt>
                <c:pt idx="277">
                  <c:v>1909.3708524841491</c:v>
                </c:pt>
                <c:pt idx="278">
                  <c:v>-4860.8931326605407</c:v>
                </c:pt>
                <c:pt idx="279">
                  <c:v>-5215.2599929350254</c:v>
                </c:pt>
                <c:pt idx="280">
                  <c:v>-407.01571583034718</c:v>
                </c:pt>
                <c:pt idx="281">
                  <c:v>3155.0676184761628</c:v>
                </c:pt>
                <c:pt idx="284">
                  <c:v>4765.3244263521119</c:v>
                </c:pt>
                <c:pt idx="285">
                  <c:v>3101.4967721630828</c:v>
                </c:pt>
                <c:pt idx="286">
                  <c:v>-1706.4710495481399</c:v>
                </c:pt>
                <c:pt idx="287">
                  <c:v>-5067.6486585948278</c:v>
                </c:pt>
                <c:pt idx="288">
                  <c:v>-4511.5206260499626</c:v>
                </c:pt>
                <c:pt idx="289">
                  <c:v>-5879.9995995696909</c:v>
                </c:pt>
                <c:pt idx="290">
                  <c:v>-667.06292304854219</c:v>
                </c:pt>
                <c:pt idx="291">
                  <c:v>1390.6303991216121</c:v>
                </c:pt>
                <c:pt idx="292">
                  <c:v>2263.1049678960972</c:v>
                </c:pt>
                <c:pt idx="293">
                  <c:v>6312.1462912793804</c:v>
                </c:pt>
                <c:pt idx="296">
                  <c:v>2281.7968662618259</c:v>
                </c:pt>
                <c:pt idx="297">
                  <c:v>-7330.4054743160714</c:v>
                </c:pt>
                <c:pt idx="298">
                  <c:v>-707.1471839830798</c:v>
                </c:pt>
                <c:pt idx="299">
                  <c:v>107.4687378964405</c:v>
                </c:pt>
                <c:pt idx="300">
                  <c:v>-2037.8086562977981</c:v>
                </c:pt>
                <c:pt idx="301">
                  <c:v>-5381.0598828920574</c:v>
                </c:pt>
                <c:pt idx="302">
                  <c:v>7070.8560478120626</c:v>
                </c:pt>
                <c:pt idx="303">
                  <c:v>7493.9658518533606</c:v>
                </c:pt>
                <c:pt idx="304">
                  <c:v>-17.359511185390311</c:v>
                </c:pt>
                <c:pt idx="305">
                  <c:v>-1480.3067951504861</c:v>
                </c:pt>
                <c:pt idx="308">
                  <c:v>-5161.8344069904433</c:v>
                </c:pt>
                <c:pt idx="309">
                  <c:v>4981.0016137739867</c:v>
                </c:pt>
                <c:pt idx="310">
                  <c:v>-4525.5040777999411</c:v>
                </c:pt>
                <c:pt idx="311">
                  <c:v>-7158.9064040490284</c:v>
                </c:pt>
                <c:pt idx="312">
                  <c:v>-2136.133820886449</c:v>
                </c:pt>
                <c:pt idx="313">
                  <c:v>-246.91804892884471</c:v>
                </c:pt>
                <c:pt idx="314">
                  <c:v>1242.7509112818741</c:v>
                </c:pt>
                <c:pt idx="315">
                  <c:v>4213.666048853559</c:v>
                </c:pt>
                <c:pt idx="316">
                  <c:v>-337.836620755414</c:v>
                </c:pt>
                <c:pt idx="317">
                  <c:v>9129.7148055004691</c:v>
                </c:pt>
                <c:pt idx="321">
                  <c:v>-4637.8991918498459</c:v>
                </c:pt>
                <c:pt idx="322">
                  <c:v>-6593.4398766667791</c:v>
                </c:pt>
                <c:pt idx="323">
                  <c:v>579.99592839180002</c:v>
                </c:pt>
                <c:pt idx="324">
                  <c:v>4843.4528811619621</c:v>
                </c:pt>
                <c:pt idx="325">
                  <c:v>-4266.2154536278094</c:v>
                </c:pt>
                <c:pt idx="326">
                  <c:v>16.74285647327547</c:v>
                </c:pt>
                <c:pt idx="327">
                  <c:v>-2339.776388149382</c:v>
                </c:pt>
                <c:pt idx="328">
                  <c:v>1762.9990228195541</c:v>
                </c:pt>
                <c:pt idx="329">
                  <c:v>3358.863644146541</c:v>
                </c:pt>
                <c:pt idx="330">
                  <c:v>7275.2765772996163</c:v>
                </c:pt>
                <c:pt idx="333">
                  <c:v>531.67791882659947</c:v>
                </c:pt>
                <c:pt idx="334">
                  <c:v>-1726.4425876070211</c:v>
                </c:pt>
                <c:pt idx="335">
                  <c:v>3302.51785304855</c:v>
                </c:pt>
                <c:pt idx="336">
                  <c:v>-4656.2852371878953</c:v>
                </c:pt>
                <c:pt idx="337">
                  <c:v>-3450.7312661122442</c:v>
                </c:pt>
                <c:pt idx="338">
                  <c:v>-3878.454317497597</c:v>
                </c:pt>
                <c:pt idx="339">
                  <c:v>7094.4334033941996</c:v>
                </c:pt>
                <c:pt idx="340">
                  <c:v>4520.9681971324799</c:v>
                </c:pt>
                <c:pt idx="341">
                  <c:v>-1645.178378876343</c:v>
                </c:pt>
                <c:pt idx="342">
                  <c:v>-92.505585121454288</c:v>
                </c:pt>
                <c:pt idx="346">
                  <c:v>-4809.6996360147377</c:v>
                </c:pt>
                <c:pt idx="347">
                  <c:v>-1663.444192613636</c:v>
                </c:pt>
                <c:pt idx="348">
                  <c:v>-2855.372535216296</c:v>
                </c:pt>
                <c:pt idx="349">
                  <c:v>1665.1160729166329</c:v>
                </c:pt>
                <c:pt idx="350">
                  <c:v>1904.6826834871019</c:v>
                </c:pt>
                <c:pt idx="351">
                  <c:v>-703.28442323069476</c:v>
                </c:pt>
                <c:pt idx="352">
                  <c:v>-5410.3571244484501</c:v>
                </c:pt>
                <c:pt idx="353">
                  <c:v>6065.0380238331236</c:v>
                </c:pt>
                <c:pt idx="354">
                  <c:v>6499.2900528719829</c:v>
                </c:pt>
                <c:pt idx="355">
                  <c:v>-691.96892158530659</c:v>
                </c:pt>
                <c:pt idx="358">
                  <c:v>-2914.8007525398339</c:v>
                </c:pt>
                <c:pt idx="359">
                  <c:v>6066.9979227455333</c:v>
                </c:pt>
                <c:pt idx="360">
                  <c:v>400.00525730651509</c:v>
                </c:pt>
                <c:pt idx="361">
                  <c:v>-2879.3556523889401</c:v>
                </c:pt>
                <c:pt idx="362">
                  <c:v>-3507.863056760415</c:v>
                </c:pt>
                <c:pt idx="363">
                  <c:v>3815.134549582157</c:v>
                </c:pt>
                <c:pt idx="364">
                  <c:v>4242.2836969177661</c:v>
                </c:pt>
                <c:pt idx="365">
                  <c:v>3791.7346396962171</c:v>
                </c:pt>
                <c:pt idx="366">
                  <c:v>-4209.467976806568</c:v>
                </c:pt>
                <c:pt idx="367">
                  <c:v>-4804.6686277529016</c:v>
                </c:pt>
                <c:pt idx="370">
                  <c:v>-3245.9994028150991</c:v>
                </c:pt>
                <c:pt idx="371">
                  <c:v>-384.66648351421992</c:v>
                </c:pt>
                <c:pt idx="372">
                  <c:v>439.62162677120511</c:v>
                </c:pt>
                <c:pt idx="373">
                  <c:v>-1450.6719352036371</c:v>
                </c:pt>
                <c:pt idx="374">
                  <c:v>4439.532792057179</c:v>
                </c:pt>
                <c:pt idx="375">
                  <c:v>-5209.3541383165739</c:v>
                </c:pt>
                <c:pt idx="376">
                  <c:v>-1311.8215183764109</c:v>
                </c:pt>
                <c:pt idx="377">
                  <c:v>2442.3033465645899</c:v>
                </c:pt>
                <c:pt idx="378">
                  <c:v>5568.9369499288732</c:v>
                </c:pt>
                <c:pt idx="379">
                  <c:v>-1287.881237096705</c:v>
                </c:pt>
                <c:pt idx="382">
                  <c:v>14244.42535791509</c:v>
                </c:pt>
                <c:pt idx="383">
                  <c:v>5529.815038607604</c:v>
                </c:pt>
                <c:pt idx="384">
                  <c:v>-428.72954237818209</c:v>
                </c:pt>
                <c:pt idx="385">
                  <c:v>-6238.5901097312762</c:v>
                </c:pt>
                <c:pt idx="386">
                  <c:v>-2453.8359797789308</c:v>
                </c:pt>
                <c:pt idx="387">
                  <c:v>-2471.3046937994791</c:v>
                </c:pt>
                <c:pt idx="388">
                  <c:v>-2117.1253536644758</c:v>
                </c:pt>
                <c:pt idx="389">
                  <c:v>-2704.2506694342819</c:v>
                </c:pt>
                <c:pt idx="390">
                  <c:v>-4024.9075112735732</c:v>
                </c:pt>
                <c:pt idx="391">
                  <c:v>664.50346353688951</c:v>
                </c:pt>
                <c:pt idx="394">
                  <c:v>-2938.2935471064552</c:v>
                </c:pt>
                <c:pt idx="395">
                  <c:v>4500.9728500499787</c:v>
                </c:pt>
                <c:pt idx="396">
                  <c:v>6630.1013504762022</c:v>
                </c:pt>
                <c:pt idx="397">
                  <c:v>-620.09921948489978</c:v>
                </c:pt>
                <c:pt idx="398">
                  <c:v>916.19460818705011</c:v>
                </c:pt>
                <c:pt idx="399">
                  <c:v>2651.118204352576</c:v>
                </c:pt>
                <c:pt idx="400">
                  <c:v>-6418.5200353213158</c:v>
                </c:pt>
                <c:pt idx="401">
                  <c:v>-2028.1413545022669</c:v>
                </c:pt>
                <c:pt idx="402">
                  <c:v>-2949.1596209436552</c:v>
                </c:pt>
                <c:pt idx="403">
                  <c:v>255.82676429341331</c:v>
                </c:pt>
                <c:pt idx="406">
                  <c:v>852.96850493773616</c:v>
                </c:pt>
                <c:pt idx="407">
                  <c:v>88.222291909395068</c:v>
                </c:pt>
                <c:pt idx="408">
                  <c:v>1222.0011162901981</c:v>
                </c:pt>
                <c:pt idx="409">
                  <c:v>-4728.6025340521073</c:v>
                </c:pt>
                <c:pt idx="410">
                  <c:v>2178.4519441037201</c:v>
                </c:pt>
                <c:pt idx="411">
                  <c:v>-1447.605002826773</c:v>
                </c:pt>
                <c:pt idx="412">
                  <c:v>2745.0115087315962</c:v>
                </c:pt>
                <c:pt idx="413">
                  <c:v>6185.6253922891592</c:v>
                </c:pt>
                <c:pt idx="414">
                  <c:v>-1772.8489832260971</c:v>
                </c:pt>
                <c:pt idx="415">
                  <c:v>-5323.2242381561946</c:v>
                </c:pt>
                <c:pt idx="418">
                  <c:v>-645.75250757670142</c:v>
                </c:pt>
                <c:pt idx="419">
                  <c:v>-5678.0481989171094</c:v>
                </c:pt>
                <c:pt idx="420">
                  <c:v>-4643.6980313975964</c:v>
                </c:pt>
                <c:pt idx="421">
                  <c:v>-6151.4518467259504</c:v>
                </c:pt>
                <c:pt idx="422">
                  <c:v>-4370.1127316256589</c:v>
                </c:pt>
                <c:pt idx="423">
                  <c:v>9930.2570614546694</c:v>
                </c:pt>
                <c:pt idx="424">
                  <c:v>7944.3134467839154</c:v>
                </c:pt>
                <c:pt idx="425">
                  <c:v>814.73399246578265</c:v>
                </c:pt>
                <c:pt idx="426">
                  <c:v>750.37881926731256</c:v>
                </c:pt>
                <c:pt idx="427">
                  <c:v>2049.3799962723961</c:v>
                </c:pt>
                <c:pt idx="430">
                  <c:v>-7944.0396912749529</c:v>
                </c:pt>
                <c:pt idx="431">
                  <c:v>5521.2709014349057</c:v>
                </c:pt>
                <c:pt idx="432">
                  <c:v>-298.36745020740523</c:v>
                </c:pt>
                <c:pt idx="433">
                  <c:v>226.10708917653841</c:v>
                </c:pt>
                <c:pt idx="434">
                  <c:v>-1093.7058244973391</c:v>
                </c:pt>
                <c:pt idx="435">
                  <c:v>9707.7124724378082</c:v>
                </c:pt>
                <c:pt idx="436">
                  <c:v>-999.65916475510551</c:v>
                </c:pt>
                <c:pt idx="437">
                  <c:v>2252.0605334447418</c:v>
                </c:pt>
                <c:pt idx="438">
                  <c:v>-2925.1946347908361</c:v>
                </c:pt>
                <c:pt idx="439">
                  <c:v>-4446.1842309679769</c:v>
                </c:pt>
                <c:pt idx="443">
                  <c:v>-1909.12602994895</c:v>
                </c:pt>
                <c:pt idx="444">
                  <c:v>1131.250390099623</c:v>
                </c:pt>
                <c:pt idx="445">
                  <c:v>263.61677617083319</c:v>
                </c:pt>
                <c:pt idx="446">
                  <c:v>7921.384537074754</c:v>
                </c:pt>
                <c:pt idx="447">
                  <c:v>1295.542380186992</c:v>
                </c:pt>
                <c:pt idx="448">
                  <c:v>-4630.9991172318969</c:v>
                </c:pt>
                <c:pt idx="449">
                  <c:v>750.33920420471543</c:v>
                </c:pt>
                <c:pt idx="450">
                  <c:v>320.07870218361512</c:v>
                </c:pt>
                <c:pt idx="451">
                  <c:v>-2002.4164034802591</c:v>
                </c:pt>
                <c:pt idx="452">
                  <c:v>-3139.6704392599622</c:v>
                </c:pt>
                <c:pt idx="454">
                  <c:v>1006.783214837724</c:v>
                </c:pt>
                <c:pt idx="455">
                  <c:v>274.89445977387999</c:v>
                </c:pt>
                <c:pt idx="456">
                  <c:v>3548.0205870348582</c:v>
                </c:pt>
                <c:pt idx="457">
                  <c:v>-654.06243110240553</c:v>
                </c:pt>
                <c:pt idx="458">
                  <c:v>-3646.0965367895519</c:v>
                </c:pt>
                <c:pt idx="459">
                  <c:v>-3842.0392947762689</c:v>
                </c:pt>
                <c:pt idx="460">
                  <c:v>5210.7791519766452</c:v>
                </c:pt>
                <c:pt idx="461">
                  <c:v>5910.8214956928468</c:v>
                </c:pt>
                <c:pt idx="462">
                  <c:v>-2662.207440070857</c:v>
                </c:pt>
                <c:pt idx="463">
                  <c:v>-5146.8932065781783</c:v>
                </c:pt>
                <c:pt idx="466">
                  <c:v>8690.0466565167171</c:v>
                </c:pt>
                <c:pt idx="467">
                  <c:v>153.90709333617681</c:v>
                </c:pt>
                <c:pt idx="468">
                  <c:v>1474.2558285476739</c:v>
                </c:pt>
                <c:pt idx="469">
                  <c:v>-243.53656140107029</c:v>
                </c:pt>
                <c:pt idx="470">
                  <c:v>-2363.1399146261242</c:v>
                </c:pt>
                <c:pt idx="471">
                  <c:v>-2436.4221911323998</c:v>
                </c:pt>
                <c:pt idx="472">
                  <c:v>-297.73519895774808</c:v>
                </c:pt>
                <c:pt idx="473">
                  <c:v>484.88177949924398</c:v>
                </c:pt>
                <c:pt idx="474">
                  <c:v>-4053.5621513949</c:v>
                </c:pt>
                <c:pt idx="475">
                  <c:v>-1408.6953403882021</c:v>
                </c:pt>
                <c:pt idx="478">
                  <c:v>996.12704154797291</c:v>
                </c:pt>
                <c:pt idx="479">
                  <c:v>-5177.4945771177127</c:v>
                </c:pt>
                <c:pt idx="480">
                  <c:v>4043.8969559702041</c:v>
                </c:pt>
                <c:pt idx="481">
                  <c:v>-6872.0931952314377</c:v>
                </c:pt>
                <c:pt idx="482">
                  <c:v>813.80925050485473</c:v>
                </c:pt>
                <c:pt idx="483">
                  <c:v>2164.4574199341582</c:v>
                </c:pt>
                <c:pt idx="484">
                  <c:v>-1023.886447226645</c:v>
                </c:pt>
                <c:pt idx="485">
                  <c:v>7010.7974040955478</c:v>
                </c:pt>
                <c:pt idx="486">
                  <c:v>-392.88399364021188</c:v>
                </c:pt>
                <c:pt idx="487">
                  <c:v>-1562.729858836823</c:v>
                </c:pt>
                <c:pt idx="491">
                  <c:v>-1082.706033526815</c:v>
                </c:pt>
                <c:pt idx="492">
                  <c:v>-609.78677976563711</c:v>
                </c:pt>
                <c:pt idx="493">
                  <c:v>5740.1550130563583</c:v>
                </c:pt>
                <c:pt idx="494">
                  <c:v>-2263.5089815989868</c:v>
                </c:pt>
                <c:pt idx="495">
                  <c:v>-777.61169293725186</c:v>
                </c:pt>
                <c:pt idx="496">
                  <c:v>887.97907548109322</c:v>
                </c:pt>
                <c:pt idx="497">
                  <c:v>-213.13094625268749</c:v>
                </c:pt>
                <c:pt idx="498">
                  <c:v>1430.005914780186</c:v>
                </c:pt>
                <c:pt idx="499">
                  <c:v>1253.237685649324</c:v>
                </c:pt>
                <c:pt idx="500">
                  <c:v>-4364.6332548854944</c:v>
                </c:pt>
                <c:pt idx="503">
                  <c:v>5136.8444707902481</c:v>
                </c:pt>
                <c:pt idx="504">
                  <c:v>-713.08649476990774</c:v>
                </c:pt>
                <c:pt idx="505">
                  <c:v>311.12848555572782</c:v>
                </c:pt>
                <c:pt idx="506">
                  <c:v>666.52326295415105</c:v>
                </c:pt>
                <c:pt idx="507">
                  <c:v>-1306.070326870054</c:v>
                </c:pt>
                <c:pt idx="508">
                  <c:v>2631.6835111688201</c:v>
                </c:pt>
                <c:pt idx="509">
                  <c:v>-4282.3142200645307</c:v>
                </c:pt>
                <c:pt idx="510">
                  <c:v>1990.258831233084</c:v>
                </c:pt>
                <c:pt idx="511">
                  <c:v>-2510.6215630374891</c:v>
                </c:pt>
                <c:pt idx="512">
                  <c:v>-1924.3459569597339</c:v>
                </c:pt>
                <c:pt idx="515">
                  <c:v>11274.88872797729</c:v>
                </c:pt>
                <c:pt idx="516">
                  <c:v>10424.930001649789</c:v>
                </c:pt>
                <c:pt idx="517">
                  <c:v>-7427.6291014390436</c:v>
                </c:pt>
                <c:pt idx="518">
                  <c:v>-9817.8001771346771</c:v>
                </c:pt>
                <c:pt idx="519">
                  <c:v>4248.5317288806273</c:v>
                </c:pt>
                <c:pt idx="520">
                  <c:v>-407.84728030784549</c:v>
                </c:pt>
                <c:pt idx="521">
                  <c:v>4110.0643522253195</c:v>
                </c:pt>
                <c:pt idx="522">
                  <c:v>-2909.816832143129</c:v>
                </c:pt>
                <c:pt idx="523">
                  <c:v>-141.1830399333914</c:v>
                </c:pt>
                <c:pt idx="524">
                  <c:v>-9354.1383797741091</c:v>
                </c:pt>
                <c:pt idx="527">
                  <c:v>-3227.8283723935529</c:v>
                </c:pt>
                <c:pt idx="528">
                  <c:v>-711.32484484100064</c:v>
                </c:pt>
                <c:pt idx="529">
                  <c:v>-426.81369913059012</c:v>
                </c:pt>
                <c:pt idx="530">
                  <c:v>-2671.8494897406449</c:v>
                </c:pt>
                <c:pt idx="531">
                  <c:v>6793.5691874209724</c:v>
                </c:pt>
                <c:pt idx="532">
                  <c:v>-252.2648803005155</c:v>
                </c:pt>
                <c:pt idx="533">
                  <c:v>5037.9235230416398</c:v>
                </c:pt>
                <c:pt idx="534">
                  <c:v>-533.80606571506326</c:v>
                </c:pt>
                <c:pt idx="535">
                  <c:v>-3891.4240205718261</c:v>
                </c:pt>
                <c:pt idx="536">
                  <c:v>-116.181337769441</c:v>
                </c:pt>
                <c:pt idx="539">
                  <c:v>-4666.9528964071133</c:v>
                </c:pt>
                <c:pt idx="540">
                  <c:v>-4165.8997595790088</c:v>
                </c:pt>
                <c:pt idx="541">
                  <c:v>-2070.900975056401</c:v>
                </c:pt>
                <c:pt idx="542">
                  <c:v>1777.3711886049921</c:v>
                </c:pt>
                <c:pt idx="543">
                  <c:v>5360.0578814261917</c:v>
                </c:pt>
                <c:pt idx="544">
                  <c:v>1999.4775574303751</c:v>
                </c:pt>
                <c:pt idx="545">
                  <c:v>-950.45016861746035</c:v>
                </c:pt>
                <c:pt idx="546">
                  <c:v>2076.621421764205</c:v>
                </c:pt>
                <c:pt idx="547">
                  <c:v>-3968.4002900690839</c:v>
                </c:pt>
                <c:pt idx="548">
                  <c:v>4609.0760405027622</c:v>
                </c:pt>
                <c:pt idx="551">
                  <c:v>-1697.4814097623159</c:v>
                </c:pt>
                <c:pt idx="552">
                  <c:v>-459.2810114135828</c:v>
                </c:pt>
                <c:pt idx="553">
                  <c:v>-1619.659360544347</c:v>
                </c:pt>
                <c:pt idx="554">
                  <c:v>4118.4178888999932</c:v>
                </c:pt>
                <c:pt idx="555">
                  <c:v>-3193.7651125058828</c:v>
                </c:pt>
                <c:pt idx="556">
                  <c:v>1042.849045086951</c:v>
                </c:pt>
                <c:pt idx="557">
                  <c:v>578.94203084213495</c:v>
                </c:pt>
                <c:pt idx="558">
                  <c:v>223.89292426397569</c:v>
                </c:pt>
                <c:pt idx="559">
                  <c:v>-4466.7367170404241</c:v>
                </c:pt>
                <c:pt idx="560">
                  <c:v>5472.8217221734394</c:v>
                </c:pt>
                <c:pt idx="563">
                  <c:v>4893.4752414190662</c:v>
                </c:pt>
                <c:pt idx="564">
                  <c:v>-1950.9240109093371</c:v>
                </c:pt>
                <c:pt idx="565">
                  <c:v>-2400.1148952399808</c:v>
                </c:pt>
                <c:pt idx="566">
                  <c:v>-211.16026892166721</c:v>
                </c:pt>
                <c:pt idx="567">
                  <c:v>-2796.36732090539</c:v>
                </c:pt>
                <c:pt idx="568">
                  <c:v>-1824.6026016748599</c:v>
                </c:pt>
                <c:pt idx="569">
                  <c:v>1699.960698445431</c:v>
                </c:pt>
                <c:pt idx="570">
                  <c:v>-3008.5384337339128</c:v>
                </c:pt>
                <c:pt idx="571">
                  <c:v>5050.6931650131528</c:v>
                </c:pt>
                <c:pt idx="572">
                  <c:v>547.57842650723342</c:v>
                </c:pt>
                <c:pt idx="575">
                  <c:v>-3006.3599298881259</c:v>
                </c:pt>
                <c:pt idx="576">
                  <c:v>1361.5500724121</c:v>
                </c:pt>
                <c:pt idx="577">
                  <c:v>-1723.5038496937129</c:v>
                </c:pt>
                <c:pt idx="578">
                  <c:v>1504.6848579659761</c:v>
                </c:pt>
                <c:pt idx="579">
                  <c:v>1185.303794368617</c:v>
                </c:pt>
                <c:pt idx="580">
                  <c:v>-3934.8525665822499</c:v>
                </c:pt>
                <c:pt idx="581">
                  <c:v>1236.3072807595829</c:v>
                </c:pt>
                <c:pt idx="582">
                  <c:v>-1727.242712522986</c:v>
                </c:pt>
                <c:pt idx="583">
                  <c:v>994.13968027997612</c:v>
                </c:pt>
                <c:pt idx="584">
                  <c:v>4109.973372901426</c:v>
                </c:pt>
                <c:pt idx="587">
                  <c:v>1260.4951383171219</c:v>
                </c:pt>
                <c:pt idx="588">
                  <c:v>-250.15514009639429</c:v>
                </c:pt>
                <c:pt idx="589">
                  <c:v>537.9783486897112</c:v>
                </c:pt>
                <c:pt idx="590">
                  <c:v>-1048.335926873739</c:v>
                </c:pt>
                <c:pt idx="591">
                  <c:v>-2413.1706047353032</c:v>
                </c:pt>
                <c:pt idx="592">
                  <c:v>6442.3099201902214</c:v>
                </c:pt>
                <c:pt idx="593">
                  <c:v>-3819.893938158827</c:v>
                </c:pt>
                <c:pt idx="594">
                  <c:v>-150.42581042833689</c:v>
                </c:pt>
                <c:pt idx="595">
                  <c:v>-5084.8111833366238</c:v>
                </c:pt>
                <c:pt idx="596">
                  <c:v>4526.0091964313251</c:v>
                </c:pt>
                <c:pt idx="599">
                  <c:v>14500.25302491466</c:v>
                </c:pt>
                <c:pt idx="600">
                  <c:v>2793.0634124072249</c:v>
                </c:pt>
                <c:pt idx="601">
                  <c:v>-3278.7236188566499</c:v>
                </c:pt>
                <c:pt idx="602">
                  <c:v>-2999.5378156877618</c:v>
                </c:pt>
                <c:pt idx="603">
                  <c:v>-5524.2174622295752</c:v>
                </c:pt>
                <c:pt idx="604">
                  <c:v>-831.08075925501646</c:v>
                </c:pt>
                <c:pt idx="605">
                  <c:v>-3813.1320209130522</c:v>
                </c:pt>
                <c:pt idx="606">
                  <c:v>-4659.2989472873787</c:v>
                </c:pt>
                <c:pt idx="607">
                  <c:v>-2533.344494935071</c:v>
                </c:pt>
                <c:pt idx="608">
                  <c:v>6346.0186818437123</c:v>
                </c:pt>
                <c:pt idx="611">
                  <c:v>-6289.4574264714129</c:v>
                </c:pt>
                <c:pt idx="612">
                  <c:v>-1503.049933870371</c:v>
                </c:pt>
                <c:pt idx="613">
                  <c:v>-1191.7061808092119</c:v>
                </c:pt>
                <c:pt idx="614">
                  <c:v>4142.041556579542</c:v>
                </c:pt>
                <c:pt idx="615">
                  <c:v>10515.419255124039</c:v>
                </c:pt>
                <c:pt idx="616">
                  <c:v>109.242988869355</c:v>
                </c:pt>
                <c:pt idx="617">
                  <c:v>8287.2897494658482</c:v>
                </c:pt>
                <c:pt idx="618">
                  <c:v>-3417.736852241233</c:v>
                </c:pt>
                <c:pt idx="619">
                  <c:v>-6854.7918079367928</c:v>
                </c:pt>
                <c:pt idx="620">
                  <c:v>-3797.2513487111369</c:v>
                </c:pt>
                <c:pt idx="623">
                  <c:v>10011.524873681319</c:v>
                </c:pt>
                <c:pt idx="624">
                  <c:v>6386.1480643522164</c:v>
                </c:pt>
                <c:pt idx="625">
                  <c:v>-760.59914347797599</c:v>
                </c:pt>
                <c:pt idx="626">
                  <c:v>-3359.6141367194718</c:v>
                </c:pt>
                <c:pt idx="627">
                  <c:v>-3013.575262543548</c:v>
                </c:pt>
                <c:pt idx="628">
                  <c:v>-3565.344306224285</c:v>
                </c:pt>
                <c:pt idx="629">
                  <c:v>-3912.5648532396658</c:v>
                </c:pt>
                <c:pt idx="630">
                  <c:v>-2496.9127353120361</c:v>
                </c:pt>
                <c:pt idx="631">
                  <c:v>-1102.435002672406</c:v>
                </c:pt>
                <c:pt idx="632">
                  <c:v>1813.3725021544999</c:v>
                </c:pt>
                <c:pt idx="635">
                  <c:v>9430.874178762504</c:v>
                </c:pt>
                <c:pt idx="636">
                  <c:v>6374.4462735200441</c:v>
                </c:pt>
                <c:pt idx="637">
                  <c:v>-2189.9039931773659</c:v>
                </c:pt>
                <c:pt idx="638">
                  <c:v>-2081.8502406664538</c:v>
                </c:pt>
                <c:pt idx="639">
                  <c:v>-3108.157633131771</c:v>
                </c:pt>
                <c:pt idx="640">
                  <c:v>-2981.4979854518901</c:v>
                </c:pt>
                <c:pt idx="641">
                  <c:v>-3733.6253965367459</c:v>
                </c:pt>
                <c:pt idx="642">
                  <c:v>-1660.0511821289499</c:v>
                </c:pt>
                <c:pt idx="643">
                  <c:v>-1067.700904979848</c:v>
                </c:pt>
                <c:pt idx="644">
                  <c:v>1017.466883790991</c:v>
                </c:pt>
                <c:pt idx="647">
                  <c:v>10315.34913327665</c:v>
                </c:pt>
                <c:pt idx="648">
                  <c:v>9039.1029027899294</c:v>
                </c:pt>
                <c:pt idx="649">
                  <c:v>-2641.286922508421</c:v>
                </c:pt>
                <c:pt idx="650">
                  <c:v>-3871.7085606913179</c:v>
                </c:pt>
                <c:pt idx="651">
                  <c:v>-2339.3348794759499</c:v>
                </c:pt>
                <c:pt idx="652">
                  <c:v>-4508.6116566443879</c:v>
                </c:pt>
                <c:pt idx="653">
                  <c:v>-3522.735001898659</c:v>
                </c:pt>
                <c:pt idx="654">
                  <c:v>-2363.230831282196</c:v>
                </c:pt>
                <c:pt idx="655">
                  <c:v>-520.31728167868039</c:v>
                </c:pt>
                <c:pt idx="656">
                  <c:v>412.77309811346731</c:v>
                </c:pt>
                <c:pt idx="659">
                  <c:v>10260.25466952161</c:v>
                </c:pt>
                <c:pt idx="660">
                  <c:v>9900.1441089269756</c:v>
                </c:pt>
                <c:pt idx="661">
                  <c:v>3695.0015912537569</c:v>
                </c:pt>
                <c:pt idx="662">
                  <c:v>-5205.5100982306494</c:v>
                </c:pt>
                <c:pt idx="663">
                  <c:v>-5423.2538761928317</c:v>
                </c:pt>
                <c:pt idx="664">
                  <c:v>-5159.9201638805534</c:v>
                </c:pt>
                <c:pt idx="665">
                  <c:v>-5061.1820310482644</c:v>
                </c:pt>
                <c:pt idx="666">
                  <c:v>-4433.6355664301109</c:v>
                </c:pt>
                <c:pt idx="667">
                  <c:v>-4756.2993655635009</c:v>
                </c:pt>
                <c:pt idx="668">
                  <c:v>6184.4007316424722</c:v>
                </c:pt>
                <c:pt idx="671">
                  <c:v>10704.65115875107</c:v>
                </c:pt>
                <c:pt idx="672">
                  <c:v>648.23154072101147</c:v>
                </c:pt>
                <c:pt idx="673">
                  <c:v>-1302.424499291265</c:v>
                </c:pt>
                <c:pt idx="674">
                  <c:v>-2223.22258480439</c:v>
                </c:pt>
                <c:pt idx="675">
                  <c:v>-1544.2936705352629</c:v>
                </c:pt>
                <c:pt idx="676">
                  <c:v>-1917.689849166683</c:v>
                </c:pt>
                <c:pt idx="677">
                  <c:v>-2132.9580041711129</c:v>
                </c:pt>
                <c:pt idx="678">
                  <c:v>-2740.5725589196868</c:v>
                </c:pt>
                <c:pt idx="679">
                  <c:v>-639.60779283022782</c:v>
                </c:pt>
                <c:pt idx="680">
                  <c:v>1147.8862602452141</c:v>
                </c:pt>
                <c:pt idx="683">
                  <c:v>11673.654497915801</c:v>
                </c:pt>
                <c:pt idx="684">
                  <c:v>88.751938378612067</c:v>
                </c:pt>
                <c:pt idx="685">
                  <c:v>3164.083805731213</c:v>
                </c:pt>
                <c:pt idx="686">
                  <c:v>-8022.7752719115406</c:v>
                </c:pt>
                <c:pt idx="687">
                  <c:v>-4363.3457324385327</c:v>
                </c:pt>
                <c:pt idx="688">
                  <c:v>-6101.2864851290733</c:v>
                </c:pt>
                <c:pt idx="689">
                  <c:v>-738.69944156724262</c:v>
                </c:pt>
                <c:pt idx="690">
                  <c:v>-8010.7001150420574</c:v>
                </c:pt>
                <c:pt idx="691">
                  <c:v>4406.6852458219018</c:v>
                </c:pt>
                <c:pt idx="692">
                  <c:v>7903.631558241249</c:v>
                </c:pt>
                <c:pt idx="695">
                  <c:v>8310.5242211108762</c:v>
                </c:pt>
                <c:pt idx="696">
                  <c:v>-7992.6298940919951</c:v>
                </c:pt>
                <c:pt idx="697">
                  <c:v>-2338.8802272972521</c:v>
                </c:pt>
                <c:pt idx="698">
                  <c:v>-2287.8562677952841</c:v>
                </c:pt>
                <c:pt idx="699">
                  <c:v>4068.9074326591558</c:v>
                </c:pt>
                <c:pt idx="700">
                  <c:v>10948.76037130477</c:v>
                </c:pt>
                <c:pt idx="701">
                  <c:v>2015.3299134388899</c:v>
                </c:pt>
                <c:pt idx="702">
                  <c:v>-12.40555097366167</c:v>
                </c:pt>
                <c:pt idx="703">
                  <c:v>-7828.6051559786129</c:v>
                </c:pt>
                <c:pt idx="704">
                  <c:v>-4883.1448423771326</c:v>
                </c:pt>
                <c:pt idx="707">
                  <c:v>-1740.36232897593</c:v>
                </c:pt>
                <c:pt idx="708">
                  <c:v>-2739.227960132494</c:v>
                </c:pt>
                <c:pt idx="709">
                  <c:v>-5922.7611200371884</c:v>
                </c:pt>
                <c:pt idx="710">
                  <c:v>10589.69942965496</c:v>
                </c:pt>
                <c:pt idx="711">
                  <c:v>1628.5080164304979</c:v>
                </c:pt>
                <c:pt idx="712">
                  <c:v>-4325.3120790271078</c:v>
                </c:pt>
                <c:pt idx="713">
                  <c:v>-6437.1345410470722</c:v>
                </c:pt>
                <c:pt idx="714">
                  <c:v>1358.5690715411411</c:v>
                </c:pt>
                <c:pt idx="715">
                  <c:v>6559.3422641217521</c:v>
                </c:pt>
                <c:pt idx="716">
                  <c:v>1028.679247471656</c:v>
                </c:pt>
                <c:pt idx="719">
                  <c:v>-2462.430436462198</c:v>
                </c:pt>
                <c:pt idx="720">
                  <c:v>-1129.271084890323</c:v>
                </c:pt>
                <c:pt idx="721">
                  <c:v>-3772.9643000916931</c:v>
                </c:pt>
                <c:pt idx="722">
                  <c:v>-38.292609314347892</c:v>
                </c:pt>
                <c:pt idx="723">
                  <c:v>4424.737493602177</c:v>
                </c:pt>
                <c:pt idx="724">
                  <c:v>1172.458388442353</c:v>
                </c:pt>
                <c:pt idx="725">
                  <c:v>3973.1225191675971</c:v>
                </c:pt>
                <c:pt idx="726">
                  <c:v>2126.0939985123141</c:v>
                </c:pt>
                <c:pt idx="727">
                  <c:v>-513.81758166638679</c:v>
                </c:pt>
                <c:pt idx="728">
                  <c:v>-3779.636387299578</c:v>
                </c:pt>
                <c:pt idx="731">
                  <c:v>-4315.7038377479694</c:v>
                </c:pt>
                <c:pt idx="732">
                  <c:v>6011.3308089644815</c:v>
                </c:pt>
                <c:pt idx="733">
                  <c:v>-3332.006605878134</c:v>
                </c:pt>
                <c:pt idx="734">
                  <c:v>6140.8242337824167</c:v>
                </c:pt>
                <c:pt idx="735">
                  <c:v>-1095.3336422342149</c:v>
                </c:pt>
                <c:pt idx="736">
                  <c:v>-6999.1422478560871</c:v>
                </c:pt>
                <c:pt idx="737">
                  <c:v>-6713.4365813879358</c:v>
                </c:pt>
                <c:pt idx="738">
                  <c:v>1836.136370757434</c:v>
                </c:pt>
                <c:pt idx="739">
                  <c:v>9875.71658219647</c:v>
                </c:pt>
                <c:pt idx="740">
                  <c:v>-1408.385080595725</c:v>
                </c:pt>
                <c:pt idx="743">
                  <c:v>12050.94108499928</c:v>
                </c:pt>
                <c:pt idx="744">
                  <c:v>4156.1427702887431</c:v>
                </c:pt>
                <c:pt idx="745">
                  <c:v>3194.877040111583</c:v>
                </c:pt>
                <c:pt idx="746">
                  <c:v>-3734.3101148323208</c:v>
                </c:pt>
                <c:pt idx="747">
                  <c:v>-1235.137812964206</c:v>
                </c:pt>
                <c:pt idx="748">
                  <c:v>-2659.8181219857461</c:v>
                </c:pt>
                <c:pt idx="749">
                  <c:v>3142.8713901069632</c:v>
                </c:pt>
                <c:pt idx="750">
                  <c:v>-9861.8469548603134</c:v>
                </c:pt>
                <c:pt idx="751">
                  <c:v>-1703.149265855232</c:v>
                </c:pt>
                <c:pt idx="752">
                  <c:v>-3350.570015009198</c:v>
                </c:pt>
                <c:pt idx="755">
                  <c:v>-1310.1368106065991</c:v>
                </c:pt>
                <c:pt idx="756">
                  <c:v>3342.3936996111661</c:v>
                </c:pt>
                <c:pt idx="757">
                  <c:v>-1277.242421630734</c:v>
                </c:pt>
                <c:pt idx="758">
                  <c:v>7572.2452956764037</c:v>
                </c:pt>
                <c:pt idx="759">
                  <c:v>-2111.0144902219431</c:v>
                </c:pt>
                <c:pt idx="760">
                  <c:v>-4705.6402820139274</c:v>
                </c:pt>
                <c:pt idx="761">
                  <c:v>-1432.2484696832321</c:v>
                </c:pt>
                <c:pt idx="762">
                  <c:v>4556.0871109947439</c:v>
                </c:pt>
                <c:pt idx="763">
                  <c:v>-7303.9090961588436</c:v>
                </c:pt>
                <c:pt idx="764">
                  <c:v>2669.4654640329841</c:v>
                </c:pt>
                <c:pt idx="767">
                  <c:v>-4896.7668753719181</c:v>
                </c:pt>
                <c:pt idx="768">
                  <c:v>-2358.1556866573769</c:v>
                </c:pt>
                <c:pt idx="769">
                  <c:v>6838.6860756205178</c:v>
                </c:pt>
                <c:pt idx="770">
                  <c:v>-4575.0048635823678</c:v>
                </c:pt>
                <c:pt idx="771">
                  <c:v>3494.978232313897</c:v>
                </c:pt>
                <c:pt idx="772">
                  <c:v>-2469.128131846659</c:v>
                </c:pt>
                <c:pt idx="773">
                  <c:v>-1769.929077320086</c:v>
                </c:pt>
                <c:pt idx="774">
                  <c:v>9838.667230298186</c:v>
                </c:pt>
                <c:pt idx="775">
                  <c:v>1740.060568460553</c:v>
                </c:pt>
                <c:pt idx="776">
                  <c:v>-5843.4074719151913</c:v>
                </c:pt>
                <c:pt idx="779">
                  <c:v>9460.7466828080032</c:v>
                </c:pt>
                <c:pt idx="780">
                  <c:v>-6433.6506619010788</c:v>
                </c:pt>
                <c:pt idx="781">
                  <c:v>7603.1998401635783</c:v>
                </c:pt>
                <c:pt idx="782">
                  <c:v>-8208.3097186676932</c:v>
                </c:pt>
                <c:pt idx="783">
                  <c:v>2331.316938677041</c:v>
                </c:pt>
                <c:pt idx="784">
                  <c:v>-2799.959603171259</c:v>
                </c:pt>
                <c:pt idx="785">
                  <c:v>4482.0836223952256</c:v>
                </c:pt>
                <c:pt idx="786">
                  <c:v>-2235.4558115421169</c:v>
                </c:pt>
                <c:pt idx="787">
                  <c:v>-5274.4293119557387</c:v>
                </c:pt>
                <c:pt idx="788">
                  <c:v>1074.458023193725</c:v>
                </c:pt>
                <c:pt idx="791">
                  <c:v>4306.0339919799944</c:v>
                </c:pt>
                <c:pt idx="792">
                  <c:v>-2365.7069487917852</c:v>
                </c:pt>
                <c:pt idx="793">
                  <c:v>-4265.8434507074562</c:v>
                </c:pt>
                <c:pt idx="794">
                  <c:v>10315.71784804329</c:v>
                </c:pt>
                <c:pt idx="795">
                  <c:v>-2403.3660687422848</c:v>
                </c:pt>
                <c:pt idx="796">
                  <c:v>-5423.0124045509683</c:v>
                </c:pt>
                <c:pt idx="797">
                  <c:v>-3540.2507501948839</c:v>
                </c:pt>
                <c:pt idx="798">
                  <c:v>-4680.8579356086284</c:v>
                </c:pt>
                <c:pt idx="799">
                  <c:v>2795.8452999727911</c:v>
                </c:pt>
                <c:pt idx="800">
                  <c:v>5261.4404186005704</c:v>
                </c:pt>
                <c:pt idx="803">
                  <c:v>7423.1255269527592</c:v>
                </c:pt>
                <c:pt idx="804">
                  <c:v>-6406.7409728944886</c:v>
                </c:pt>
                <c:pt idx="805">
                  <c:v>3677.7184093409369</c:v>
                </c:pt>
                <c:pt idx="806">
                  <c:v>8675.7712942738453</c:v>
                </c:pt>
                <c:pt idx="807">
                  <c:v>302.14226671207291</c:v>
                </c:pt>
                <c:pt idx="808">
                  <c:v>717.24127239523716</c:v>
                </c:pt>
                <c:pt idx="809">
                  <c:v>-1479.103273028368</c:v>
                </c:pt>
                <c:pt idx="810">
                  <c:v>-3133.7182027600152</c:v>
                </c:pt>
                <c:pt idx="811">
                  <c:v>-3574.67355875152</c:v>
                </c:pt>
                <c:pt idx="812">
                  <c:v>-6201.7627622403188</c:v>
                </c:pt>
                <c:pt idx="814">
                  <c:v>-8719.5173158053276</c:v>
                </c:pt>
                <c:pt idx="815">
                  <c:v>6126.5265430694481</c:v>
                </c:pt>
                <c:pt idx="816">
                  <c:v>-4271.4389020071912</c:v>
                </c:pt>
                <c:pt idx="817">
                  <c:v>-5838.524584303681</c:v>
                </c:pt>
                <c:pt idx="818">
                  <c:v>-334.58865545358651</c:v>
                </c:pt>
                <c:pt idx="819">
                  <c:v>1830.3863804173729</c:v>
                </c:pt>
                <c:pt idx="820">
                  <c:v>1391.5761512620859</c:v>
                </c:pt>
                <c:pt idx="821">
                  <c:v>-3814.217009075152</c:v>
                </c:pt>
                <c:pt idx="822">
                  <c:v>4593.1381411572293</c:v>
                </c:pt>
                <c:pt idx="823">
                  <c:v>9036.6592507381247</c:v>
                </c:pt>
                <c:pt idx="826">
                  <c:v>3035.8508573855952</c:v>
                </c:pt>
                <c:pt idx="827">
                  <c:v>-4070.1352161160721</c:v>
                </c:pt>
                <c:pt idx="828">
                  <c:v>-2340.213006165513</c:v>
                </c:pt>
                <c:pt idx="829">
                  <c:v>5177.1110364667384</c:v>
                </c:pt>
                <c:pt idx="830">
                  <c:v>-2345.3969882024721</c:v>
                </c:pt>
                <c:pt idx="831">
                  <c:v>-2321.992014782194</c:v>
                </c:pt>
                <c:pt idx="832">
                  <c:v>4731.0545216454693</c:v>
                </c:pt>
                <c:pt idx="833">
                  <c:v>-4246.655405194545</c:v>
                </c:pt>
                <c:pt idx="834">
                  <c:v>4486.7488820975032</c:v>
                </c:pt>
                <c:pt idx="835">
                  <c:v>-2106.3726671351819</c:v>
                </c:pt>
                <c:pt idx="838">
                  <c:v>10104.431684428069</c:v>
                </c:pt>
                <c:pt idx="839">
                  <c:v>2421.6556340926381</c:v>
                </c:pt>
                <c:pt idx="840">
                  <c:v>2663.8148400954292</c:v>
                </c:pt>
                <c:pt idx="841">
                  <c:v>-5244.1110806913184</c:v>
                </c:pt>
                <c:pt idx="842">
                  <c:v>-5298.257230715657</c:v>
                </c:pt>
                <c:pt idx="843">
                  <c:v>-4163.8336962944459</c:v>
                </c:pt>
                <c:pt idx="844">
                  <c:v>-1466.209541940794</c:v>
                </c:pt>
                <c:pt idx="845">
                  <c:v>2387.0958873544359</c:v>
                </c:pt>
                <c:pt idx="846">
                  <c:v>961.2546608175802</c:v>
                </c:pt>
                <c:pt idx="847">
                  <c:v>-2365.841157146187</c:v>
                </c:pt>
                <c:pt idx="850">
                  <c:v>-4009.4005615372589</c:v>
                </c:pt>
                <c:pt idx="851">
                  <c:v>-1993.0259862978439</c:v>
                </c:pt>
                <c:pt idx="852">
                  <c:v>-1119.95977181695</c:v>
                </c:pt>
                <c:pt idx="853">
                  <c:v>6469.9225678057464</c:v>
                </c:pt>
                <c:pt idx="854">
                  <c:v>-973.83430286513669</c:v>
                </c:pt>
                <c:pt idx="855">
                  <c:v>-2082.128057854773</c:v>
                </c:pt>
                <c:pt idx="856">
                  <c:v>-93.820718384991238</c:v>
                </c:pt>
                <c:pt idx="857">
                  <c:v>-3014.6914329249162</c:v>
                </c:pt>
                <c:pt idx="858">
                  <c:v>2689.7620109694199</c:v>
                </c:pt>
                <c:pt idx="859">
                  <c:v>4127.1762529067073</c:v>
                </c:pt>
                <c:pt idx="862">
                  <c:v>-14884.273399662579</c:v>
                </c:pt>
                <c:pt idx="863">
                  <c:v>-9080.5877119233428</c:v>
                </c:pt>
                <c:pt idx="864">
                  <c:v>-4907.1400112899892</c:v>
                </c:pt>
                <c:pt idx="865">
                  <c:v>8776.022313069132</c:v>
                </c:pt>
                <c:pt idx="866">
                  <c:v>9985.8964949668261</c:v>
                </c:pt>
                <c:pt idx="867">
                  <c:v>27266.315849296549</c:v>
                </c:pt>
                <c:pt idx="868">
                  <c:v>6564.4278148622661</c:v>
                </c:pt>
                <c:pt idx="869">
                  <c:v>-2967.023276290487</c:v>
                </c:pt>
                <c:pt idx="870">
                  <c:v>-12943.542594968259</c:v>
                </c:pt>
                <c:pt idx="871">
                  <c:v>-7810.0954780605516</c:v>
                </c:pt>
                <c:pt idx="874">
                  <c:v>7328.7255920151547</c:v>
                </c:pt>
                <c:pt idx="875">
                  <c:v>10683.170293789701</c:v>
                </c:pt>
                <c:pt idx="876">
                  <c:v>-3461.0131010697551</c:v>
                </c:pt>
                <c:pt idx="877">
                  <c:v>-5094.8978190139669</c:v>
                </c:pt>
                <c:pt idx="878">
                  <c:v>-4587.419833455102</c:v>
                </c:pt>
                <c:pt idx="879">
                  <c:v>-3104.9797899648961</c:v>
                </c:pt>
                <c:pt idx="880">
                  <c:v>-1649.619872959956</c:v>
                </c:pt>
                <c:pt idx="881">
                  <c:v>-2281.0118420103408</c:v>
                </c:pt>
                <c:pt idx="882">
                  <c:v>3164.81305078995</c:v>
                </c:pt>
                <c:pt idx="883">
                  <c:v>-997.76667812098526</c:v>
                </c:pt>
                <c:pt idx="886">
                  <c:v>8928.7574930841838</c:v>
                </c:pt>
                <c:pt idx="887">
                  <c:v>-1078.1958894825959</c:v>
                </c:pt>
                <c:pt idx="888">
                  <c:v>1236.126361168579</c:v>
                </c:pt>
                <c:pt idx="889">
                  <c:v>-5841.679223582697</c:v>
                </c:pt>
                <c:pt idx="890">
                  <c:v>7412.8921677218641</c:v>
                </c:pt>
                <c:pt idx="891">
                  <c:v>-7479.5226177573577</c:v>
                </c:pt>
                <c:pt idx="892">
                  <c:v>-7823.627662968699</c:v>
                </c:pt>
                <c:pt idx="893">
                  <c:v>-582.34915574167837</c:v>
                </c:pt>
                <c:pt idx="894">
                  <c:v>3735.1338699765888</c:v>
                </c:pt>
                <c:pt idx="895">
                  <c:v>1492.4646575828219</c:v>
                </c:pt>
                <c:pt idx="898">
                  <c:v>8496.3099977746479</c:v>
                </c:pt>
                <c:pt idx="899">
                  <c:v>-5921.1871298189044</c:v>
                </c:pt>
                <c:pt idx="900">
                  <c:v>-3700.7763318875532</c:v>
                </c:pt>
                <c:pt idx="901">
                  <c:v>-4862.3929355202508</c:v>
                </c:pt>
                <c:pt idx="902">
                  <c:v>2169.3629255152669</c:v>
                </c:pt>
                <c:pt idx="903">
                  <c:v>8344.5079911622433</c:v>
                </c:pt>
                <c:pt idx="904">
                  <c:v>-5530.0021558136159</c:v>
                </c:pt>
                <c:pt idx="905">
                  <c:v>4562.8785696167442</c:v>
                </c:pt>
                <c:pt idx="906">
                  <c:v>-2784.8458280613072</c:v>
                </c:pt>
                <c:pt idx="907">
                  <c:v>-773.85510296678808</c:v>
                </c:pt>
                <c:pt idx="910">
                  <c:v>-5251.4022972468219</c:v>
                </c:pt>
                <c:pt idx="911">
                  <c:v>-1356.2505149394519</c:v>
                </c:pt>
                <c:pt idx="912">
                  <c:v>9021.6473864099844</c:v>
                </c:pt>
                <c:pt idx="913">
                  <c:v>-5464.7078974752376</c:v>
                </c:pt>
                <c:pt idx="914">
                  <c:v>200.97328592490979</c:v>
                </c:pt>
                <c:pt idx="915">
                  <c:v>-4323.967766200366</c:v>
                </c:pt>
                <c:pt idx="916">
                  <c:v>2744.7612427679819</c:v>
                </c:pt>
                <c:pt idx="917">
                  <c:v>-2153.3911309682562</c:v>
                </c:pt>
                <c:pt idx="918">
                  <c:v>5351.5098340766153</c:v>
                </c:pt>
                <c:pt idx="919">
                  <c:v>1230.8278576495679</c:v>
                </c:pt>
                <c:pt idx="923">
                  <c:v>8593.1531508932185</c:v>
                </c:pt>
                <c:pt idx="924">
                  <c:v>-271.90053490535092</c:v>
                </c:pt>
                <c:pt idx="925">
                  <c:v>4490.6715213836296</c:v>
                </c:pt>
                <c:pt idx="926">
                  <c:v>-6271.9200554166027</c:v>
                </c:pt>
                <c:pt idx="927">
                  <c:v>168.75793172379591</c:v>
                </c:pt>
                <c:pt idx="928">
                  <c:v>-3696.622571945531</c:v>
                </c:pt>
                <c:pt idx="929">
                  <c:v>-6503.0463073030023</c:v>
                </c:pt>
                <c:pt idx="930">
                  <c:v>-5414.019884696816</c:v>
                </c:pt>
                <c:pt idx="931">
                  <c:v>-419.86334624245632</c:v>
                </c:pt>
                <c:pt idx="932">
                  <c:v>9324.790096510922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89-4534-8D23-E37AF4371E12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PC2</c:v>
                </c:pt>
              </c:strCache>
            </c:strRef>
          </c:tx>
          <c:spPr>
            <a:ln w="9525" cap="flat" cmpd="sng" algn="ctr">
              <a:solidFill>
                <a:schemeClr val="accent2">
                  <a:alpha val="70000"/>
                </a:schemeClr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Sheet1!$B$2:$B$934</c:f>
              <c:numCache>
                <c:formatCode>General</c:formatCode>
                <c:ptCount val="9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7">
                  <c:v>1</c:v>
                </c:pt>
                <c:pt idx="38">
                  <c:v>2</c:v>
                </c:pt>
                <c:pt idx="39">
                  <c:v>3</c:v>
                </c:pt>
                <c:pt idx="40">
                  <c:v>4</c:v>
                </c:pt>
                <c:pt idx="41">
                  <c:v>5</c:v>
                </c:pt>
                <c:pt idx="42">
                  <c:v>6</c:v>
                </c:pt>
                <c:pt idx="43">
                  <c:v>7</c:v>
                </c:pt>
                <c:pt idx="44">
                  <c:v>8</c:v>
                </c:pt>
                <c:pt idx="45">
                  <c:v>9</c:v>
                </c:pt>
                <c:pt idx="46">
                  <c:v>10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4</c:v>
                </c:pt>
                <c:pt idx="65">
                  <c:v>5</c:v>
                </c:pt>
                <c:pt idx="66">
                  <c:v>6</c:v>
                </c:pt>
                <c:pt idx="67">
                  <c:v>7</c:v>
                </c:pt>
                <c:pt idx="68">
                  <c:v>8</c:v>
                </c:pt>
                <c:pt idx="69">
                  <c:v>9</c:v>
                </c:pt>
                <c:pt idx="70">
                  <c:v>10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5">
                  <c:v>1</c:v>
                </c:pt>
                <c:pt idx="86">
                  <c:v>2</c:v>
                </c:pt>
                <c:pt idx="87">
                  <c:v>3</c:v>
                </c:pt>
                <c:pt idx="88">
                  <c:v>4</c:v>
                </c:pt>
                <c:pt idx="89">
                  <c:v>5</c:v>
                </c:pt>
                <c:pt idx="90">
                  <c:v>6</c:v>
                </c:pt>
                <c:pt idx="91">
                  <c:v>7</c:v>
                </c:pt>
                <c:pt idx="92">
                  <c:v>8</c:v>
                </c:pt>
                <c:pt idx="93">
                  <c:v>9</c:v>
                </c:pt>
                <c:pt idx="94">
                  <c:v>10</c:v>
                </c:pt>
                <c:pt idx="97">
                  <c:v>1</c:v>
                </c:pt>
                <c:pt idx="98">
                  <c:v>2</c:v>
                </c:pt>
                <c:pt idx="99">
                  <c:v>3</c:v>
                </c:pt>
                <c:pt idx="100">
                  <c:v>4</c:v>
                </c:pt>
                <c:pt idx="101">
                  <c:v>5</c:v>
                </c:pt>
                <c:pt idx="102">
                  <c:v>6</c:v>
                </c:pt>
                <c:pt idx="103">
                  <c:v>7</c:v>
                </c:pt>
                <c:pt idx="104">
                  <c:v>8</c:v>
                </c:pt>
                <c:pt idx="105">
                  <c:v>9</c:v>
                </c:pt>
                <c:pt idx="106">
                  <c:v>10</c:v>
                </c:pt>
                <c:pt idx="109">
                  <c:v>1</c:v>
                </c:pt>
                <c:pt idx="110">
                  <c:v>2</c:v>
                </c:pt>
                <c:pt idx="111">
                  <c:v>3</c:v>
                </c:pt>
                <c:pt idx="112">
                  <c:v>4</c:v>
                </c:pt>
                <c:pt idx="113">
                  <c:v>5</c:v>
                </c:pt>
                <c:pt idx="114">
                  <c:v>6</c:v>
                </c:pt>
                <c:pt idx="115">
                  <c:v>7</c:v>
                </c:pt>
                <c:pt idx="116">
                  <c:v>8</c:v>
                </c:pt>
                <c:pt idx="117">
                  <c:v>9</c:v>
                </c:pt>
                <c:pt idx="118">
                  <c:v>10</c:v>
                </c:pt>
                <c:pt idx="121">
                  <c:v>1</c:v>
                </c:pt>
                <c:pt idx="122">
                  <c:v>2</c:v>
                </c:pt>
                <c:pt idx="123">
                  <c:v>3</c:v>
                </c:pt>
                <c:pt idx="124">
                  <c:v>4</c:v>
                </c:pt>
                <c:pt idx="125">
                  <c:v>5</c:v>
                </c:pt>
                <c:pt idx="126">
                  <c:v>6</c:v>
                </c:pt>
                <c:pt idx="127">
                  <c:v>7</c:v>
                </c:pt>
                <c:pt idx="128">
                  <c:v>8</c:v>
                </c:pt>
                <c:pt idx="129">
                  <c:v>9</c:v>
                </c:pt>
                <c:pt idx="130">
                  <c:v>10</c:v>
                </c:pt>
                <c:pt idx="133">
                  <c:v>1</c:v>
                </c:pt>
                <c:pt idx="134">
                  <c:v>2</c:v>
                </c:pt>
                <c:pt idx="135">
                  <c:v>3</c:v>
                </c:pt>
                <c:pt idx="136">
                  <c:v>4</c:v>
                </c:pt>
                <c:pt idx="137">
                  <c:v>5</c:v>
                </c:pt>
                <c:pt idx="138">
                  <c:v>6</c:v>
                </c:pt>
                <c:pt idx="139">
                  <c:v>7</c:v>
                </c:pt>
                <c:pt idx="140">
                  <c:v>8</c:v>
                </c:pt>
                <c:pt idx="141">
                  <c:v>9</c:v>
                </c:pt>
                <c:pt idx="142">
                  <c:v>10</c:v>
                </c:pt>
                <c:pt idx="145">
                  <c:v>1</c:v>
                </c:pt>
                <c:pt idx="146">
                  <c:v>2</c:v>
                </c:pt>
                <c:pt idx="147">
                  <c:v>3</c:v>
                </c:pt>
                <c:pt idx="148">
                  <c:v>4</c:v>
                </c:pt>
                <c:pt idx="149">
                  <c:v>5</c:v>
                </c:pt>
                <c:pt idx="150">
                  <c:v>6</c:v>
                </c:pt>
                <c:pt idx="151">
                  <c:v>7</c:v>
                </c:pt>
                <c:pt idx="152">
                  <c:v>8</c:v>
                </c:pt>
                <c:pt idx="153">
                  <c:v>9</c:v>
                </c:pt>
                <c:pt idx="154">
                  <c:v>10</c:v>
                </c:pt>
                <c:pt idx="157">
                  <c:v>1</c:v>
                </c:pt>
                <c:pt idx="158">
                  <c:v>2</c:v>
                </c:pt>
                <c:pt idx="159">
                  <c:v>3</c:v>
                </c:pt>
                <c:pt idx="160">
                  <c:v>4</c:v>
                </c:pt>
                <c:pt idx="161">
                  <c:v>5</c:v>
                </c:pt>
                <c:pt idx="162">
                  <c:v>6</c:v>
                </c:pt>
                <c:pt idx="163">
                  <c:v>7</c:v>
                </c:pt>
                <c:pt idx="164">
                  <c:v>8</c:v>
                </c:pt>
                <c:pt idx="165">
                  <c:v>9</c:v>
                </c:pt>
                <c:pt idx="166">
                  <c:v>10</c:v>
                </c:pt>
                <c:pt idx="169">
                  <c:v>1</c:v>
                </c:pt>
                <c:pt idx="170">
                  <c:v>2</c:v>
                </c:pt>
                <c:pt idx="171">
                  <c:v>3</c:v>
                </c:pt>
                <c:pt idx="172">
                  <c:v>4</c:v>
                </c:pt>
                <c:pt idx="173">
                  <c:v>5</c:v>
                </c:pt>
                <c:pt idx="174">
                  <c:v>6</c:v>
                </c:pt>
                <c:pt idx="175">
                  <c:v>7</c:v>
                </c:pt>
                <c:pt idx="176">
                  <c:v>8</c:v>
                </c:pt>
                <c:pt idx="177">
                  <c:v>9</c:v>
                </c:pt>
                <c:pt idx="178">
                  <c:v>10</c:v>
                </c:pt>
                <c:pt idx="182">
                  <c:v>1</c:v>
                </c:pt>
                <c:pt idx="183">
                  <c:v>2</c:v>
                </c:pt>
                <c:pt idx="184">
                  <c:v>3</c:v>
                </c:pt>
                <c:pt idx="185">
                  <c:v>4</c:v>
                </c:pt>
                <c:pt idx="186">
                  <c:v>5</c:v>
                </c:pt>
                <c:pt idx="187">
                  <c:v>6</c:v>
                </c:pt>
                <c:pt idx="188">
                  <c:v>7</c:v>
                </c:pt>
                <c:pt idx="189">
                  <c:v>8</c:v>
                </c:pt>
                <c:pt idx="190">
                  <c:v>9</c:v>
                </c:pt>
                <c:pt idx="191">
                  <c:v>10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4</c:v>
                </c:pt>
                <c:pt idx="199">
                  <c:v>5</c:v>
                </c:pt>
                <c:pt idx="200">
                  <c:v>6</c:v>
                </c:pt>
                <c:pt idx="201">
                  <c:v>7</c:v>
                </c:pt>
                <c:pt idx="202">
                  <c:v>8</c:v>
                </c:pt>
                <c:pt idx="203">
                  <c:v>9</c:v>
                </c:pt>
                <c:pt idx="204">
                  <c:v>10</c:v>
                </c:pt>
                <c:pt idx="209">
                  <c:v>1</c:v>
                </c:pt>
                <c:pt idx="210">
                  <c:v>2</c:v>
                </c:pt>
                <c:pt idx="211">
                  <c:v>3</c:v>
                </c:pt>
                <c:pt idx="212">
                  <c:v>4</c:v>
                </c:pt>
                <c:pt idx="213">
                  <c:v>5</c:v>
                </c:pt>
                <c:pt idx="214">
                  <c:v>6</c:v>
                </c:pt>
                <c:pt idx="215">
                  <c:v>7</c:v>
                </c:pt>
                <c:pt idx="216">
                  <c:v>8</c:v>
                </c:pt>
                <c:pt idx="217">
                  <c:v>9</c:v>
                </c:pt>
                <c:pt idx="218">
                  <c:v>10</c:v>
                </c:pt>
                <c:pt idx="221">
                  <c:v>1</c:v>
                </c:pt>
                <c:pt idx="222">
                  <c:v>2</c:v>
                </c:pt>
                <c:pt idx="223">
                  <c:v>3</c:v>
                </c:pt>
                <c:pt idx="224">
                  <c:v>4</c:v>
                </c:pt>
                <c:pt idx="225">
                  <c:v>5</c:v>
                </c:pt>
                <c:pt idx="226">
                  <c:v>6</c:v>
                </c:pt>
                <c:pt idx="227">
                  <c:v>7</c:v>
                </c:pt>
                <c:pt idx="228">
                  <c:v>8</c:v>
                </c:pt>
                <c:pt idx="229">
                  <c:v>9</c:v>
                </c:pt>
                <c:pt idx="230">
                  <c:v>10</c:v>
                </c:pt>
                <c:pt idx="233">
                  <c:v>1</c:v>
                </c:pt>
                <c:pt idx="234">
                  <c:v>2</c:v>
                </c:pt>
                <c:pt idx="235">
                  <c:v>3</c:v>
                </c:pt>
                <c:pt idx="236">
                  <c:v>4</c:v>
                </c:pt>
                <c:pt idx="237">
                  <c:v>5</c:v>
                </c:pt>
                <c:pt idx="238">
                  <c:v>6</c:v>
                </c:pt>
                <c:pt idx="239">
                  <c:v>7</c:v>
                </c:pt>
                <c:pt idx="240">
                  <c:v>8</c:v>
                </c:pt>
                <c:pt idx="241">
                  <c:v>9</c:v>
                </c:pt>
                <c:pt idx="242">
                  <c:v>10</c:v>
                </c:pt>
                <c:pt idx="245">
                  <c:v>1</c:v>
                </c:pt>
                <c:pt idx="246">
                  <c:v>2</c:v>
                </c:pt>
                <c:pt idx="247">
                  <c:v>3</c:v>
                </c:pt>
                <c:pt idx="248">
                  <c:v>4</c:v>
                </c:pt>
                <c:pt idx="249">
                  <c:v>5</c:v>
                </c:pt>
                <c:pt idx="250">
                  <c:v>6</c:v>
                </c:pt>
                <c:pt idx="251">
                  <c:v>7</c:v>
                </c:pt>
                <c:pt idx="252">
                  <c:v>8</c:v>
                </c:pt>
                <c:pt idx="253">
                  <c:v>9</c:v>
                </c:pt>
                <c:pt idx="254">
                  <c:v>10</c:v>
                </c:pt>
                <c:pt idx="258">
                  <c:v>1</c:v>
                </c:pt>
                <c:pt idx="259">
                  <c:v>2</c:v>
                </c:pt>
                <c:pt idx="260">
                  <c:v>3</c:v>
                </c:pt>
                <c:pt idx="261">
                  <c:v>4</c:v>
                </c:pt>
                <c:pt idx="262">
                  <c:v>5</c:v>
                </c:pt>
                <c:pt idx="263">
                  <c:v>6</c:v>
                </c:pt>
                <c:pt idx="264">
                  <c:v>7</c:v>
                </c:pt>
                <c:pt idx="265">
                  <c:v>8</c:v>
                </c:pt>
                <c:pt idx="266">
                  <c:v>9</c:v>
                </c:pt>
                <c:pt idx="267">
                  <c:v>10</c:v>
                </c:pt>
                <c:pt idx="272">
                  <c:v>1</c:v>
                </c:pt>
                <c:pt idx="273">
                  <c:v>2</c:v>
                </c:pt>
                <c:pt idx="274">
                  <c:v>3</c:v>
                </c:pt>
                <c:pt idx="275">
                  <c:v>4</c:v>
                </c:pt>
                <c:pt idx="276">
                  <c:v>5</c:v>
                </c:pt>
                <c:pt idx="277">
                  <c:v>6</c:v>
                </c:pt>
                <c:pt idx="278">
                  <c:v>7</c:v>
                </c:pt>
                <c:pt idx="279">
                  <c:v>8</c:v>
                </c:pt>
                <c:pt idx="280">
                  <c:v>9</c:v>
                </c:pt>
                <c:pt idx="281">
                  <c:v>10</c:v>
                </c:pt>
                <c:pt idx="284">
                  <c:v>1</c:v>
                </c:pt>
                <c:pt idx="285">
                  <c:v>2</c:v>
                </c:pt>
                <c:pt idx="286">
                  <c:v>3</c:v>
                </c:pt>
                <c:pt idx="287">
                  <c:v>4</c:v>
                </c:pt>
                <c:pt idx="288">
                  <c:v>5</c:v>
                </c:pt>
                <c:pt idx="289">
                  <c:v>6</c:v>
                </c:pt>
                <c:pt idx="290">
                  <c:v>7</c:v>
                </c:pt>
                <c:pt idx="291">
                  <c:v>8</c:v>
                </c:pt>
                <c:pt idx="292">
                  <c:v>9</c:v>
                </c:pt>
                <c:pt idx="293">
                  <c:v>10</c:v>
                </c:pt>
                <c:pt idx="296">
                  <c:v>1</c:v>
                </c:pt>
                <c:pt idx="297">
                  <c:v>2</c:v>
                </c:pt>
                <c:pt idx="298">
                  <c:v>3</c:v>
                </c:pt>
                <c:pt idx="299">
                  <c:v>4</c:v>
                </c:pt>
                <c:pt idx="300">
                  <c:v>5</c:v>
                </c:pt>
                <c:pt idx="301">
                  <c:v>6</c:v>
                </c:pt>
                <c:pt idx="302">
                  <c:v>7</c:v>
                </c:pt>
                <c:pt idx="303">
                  <c:v>8</c:v>
                </c:pt>
                <c:pt idx="304">
                  <c:v>9</c:v>
                </c:pt>
                <c:pt idx="305">
                  <c:v>10</c:v>
                </c:pt>
                <c:pt idx="308">
                  <c:v>1</c:v>
                </c:pt>
                <c:pt idx="309">
                  <c:v>2</c:v>
                </c:pt>
                <c:pt idx="310">
                  <c:v>3</c:v>
                </c:pt>
                <c:pt idx="311">
                  <c:v>4</c:v>
                </c:pt>
                <c:pt idx="312">
                  <c:v>5</c:v>
                </c:pt>
                <c:pt idx="313">
                  <c:v>6</c:v>
                </c:pt>
                <c:pt idx="314">
                  <c:v>7</c:v>
                </c:pt>
                <c:pt idx="315">
                  <c:v>8</c:v>
                </c:pt>
                <c:pt idx="316">
                  <c:v>9</c:v>
                </c:pt>
                <c:pt idx="317">
                  <c:v>10</c:v>
                </c:pt>
                <c:pt idx="321">
                  <c:v>1</c:v>
                </c:pt>
                <c:pt idx="322">
                  <c:v>2</c:v>
                </c:pt>
                <c:pt idx="323">
                  <c:v>3</c:v>
                </c:pt>
                <c:pt idx="324">
                  <c:v>4</c:v>
                </c:pt>
                <c:pt idx="325">
                  <c:v>5</c:v>
                </c:pt>
                <c:pt idx="326">
                  <c:v>6</c:v>
                </c:pt>
                <c:pt idx="327">
                  <c:v>7</c:v>
                </c:pt>
                <c:pt idx="328">
                  <c:v>8</c:v>
                </c:pt>
                <c:pt idx="329">
                  <c:v>9</c:v>
                </c:pt>
                <c:pt idx="330">
                  <c:v>10</c:v>
                </c:pt>
                <c:pt idx="333">
                  <c:v>1</c:v>
                </c:pt>
                <c:pt idx="334">
                  <c:v>2</c:v>
                </c:pt>
                <c:pt idx="335">
                  <c:v>3</c:v>
                </c:pt>
                <c:pt idx="336">
                  <c:v>4</c:v>
                </c:pt>
                <c:pt idx="337">
                  <c:v>5</c:v>
                </c:pt>
                <c:pt idx="338">
                  <c:v>6</c:v>
                </c:pt>
                <c:pt idx="339">
                  <c:v>7</c:v>
                </c:pt>
                <c:pt idx="340">
                  <c:v>8</c:v>
                </c:pt>
                <c:pt idx="341">
                  <c:v>9</c:v>
                </c:pt>
                <c:pt idx="342">
                  <c:v>10</c:v>
                </c:pt>
                <c:pt idx="346">
                  <c:v>1</c:v>
                </c:pt>
                <c:pt idx="347">
                  <c:v>2</c:v>
                </c:pt>
                <c:pt idx="348">
                  <c:v>3</c:v>
                </c:pt>
                <c:pt idx="349">
                  <c:v>4</c:v>
                </c:pt>
                <c:pt idx="350">
                  <c:v>5</c:v>
                </c:pt>
                <c:pt idx="351">
                  <c:v>6</c:v>
                </c:pt>
                <c:pt idx="352">
                  <c:v>7</c:v>
                </c:pt>
                <c:pt idx="353">
                  <c:v>8</c:v>
                </c:pt>
                <c:pt idx="354">
                  <c:v>9</c:v>
                </c:pt>
                <c:pt idx="355">
                  <c:v>10</c:v>
                </c:pt>
                <c:pt idx="358">
                  <c:v>1</c:v>
                </c:pt>
                <c:pt idx="359">
                  <c:v>2</c:v>
                </c:pt>
                <c:pt idx="360">
                  <c:v>3</c:v>
                </c:pt>
                <c:pt idx="361">
                  <c:v>4</c:v>
                </c:pt>
                <c:pt idx="362">
                  <c:v>5</c:v>
                </c:pt>
                <c:pt idx="363">
                  <c:v>6</c:v>
                </c:pt>
                <c:pt idx="364">
                  <c:v>7</c:v>
                </c:pt>
                <c:pt idx="365">
                  <c:v>8</c:v>
                </c:pt>
                <c:pt idx="366">
                  <c:v>9</c:v>
                </c:pt>
                <c:pt idx="367">
                  <c:v>10</c:v>
                </c:pt>
                <c:pt idx="370">
                  <c:v>1</c:v>
                </c:pt>
                <c:pt idx="371">
                  <c:v>2</c:v>
                </c:pt>
                <c:pt idx="372">
                  <c:v>3</c:v>
                </c:pt>
                <c:pt idx="373">
                  <c:v>4</c:v>
                </c:pt>
                <c:pt idx="374">
                  <c:v>5</c:v>
                </c:pt>
                <c:pt idx="375">
                  <c:v>6</c:v>
                </c:pt>
                <c:pt idx="376">
                  <c:v>7</c:v>
                </c:pt>
                <c:pt idx="377">
                  <c:v>8</c:v>
                </c:pt>
                <c:pt idx="378">
                  <c:v>9</c:v>
                </c:pt>
                <c:pt idx="379">
                  <c:v>10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5</c:v>
                </c:pt>
                <c:pt idx="387">
                  <c:v>6</c:v>
                </c:pt>
                <c:pt idx="388">
                  <c:v>7</c:v>
                </c:pt>
                <c:pt idx="389">
                  <c:v>8</c:v>
                </c:pt>
                <c:pt idx="390">
                  <c:v>9</c:v>
                </c:pt>
                <c:pt idx="391">
                  <c:v>10</c:v>
                </c:pt>
                <c:pt idx="394">
                  <c:v>1</c:v>
                </c:pt>
                <c:pt idx="395">
                  <c:v>2</c:v>
                </c:pt>
                <c:pt idx="396">
                  <c:v>3</c:v>
                </c:pt>
                <c:pt idx="397">
                  <c:v>4</c:v>
                </c:pt>
                <c:pt idx="398">
                  <c:v>5</c:v>
                </c:pt>
                <c:pt idx="399">
                  <c:v>6</c:v>
                </c:pt>
                <c:pt idx="400">
                  <c:v>7</c:v>
                </c:pt>
                <c:pt idx="401">
                  <c:v>8</c:v>
                </c:pt>
                <c:pt idx="402">
                  <c:v>9</c:v>
                </c:pt>
                <c:pt idx="403">
                  <c:v>10</c:v>
                </c:pt>
                <c:pt idx="406">
                  <c:v>1</c:v>
                </c:pt>
                <c:pt idx="407">
                  <c:v>2</c:v>
                </c:pt>
                <c:pt idx="408">
                  <c:v>3</c:v>
                </c:pt>
                <c:pt idx="409">
                  <c:v>4</c:v>
                </c:pt>
                <c:pt idx="410">
                  <c:v>5</c:v>
                </c:pt>
                <c:pt idx="411">
                  <c:v>6</c:v>
                </c:pt>
                <c:pt idx="412">
                  <c:v>7</c:v>
                </c:pt>
                <c:pt idx="413">
                  <c:v>8</c:v>
                </c:pt>
                <c:pt idx="414">
                  <c:v>9</c:v>
                </c:pt>
                <c:pt idx="415">
                  <c:v>10</c:v>
                </c:pt>
                <c:pt idx="418">
                  <c:v>1</c:v>
                </c:pt>
                <c:pt idx="419">
                  <c:v>2</c:v>
                </c:pt>
                <c:pt idx="420">
                  <c:v>3</c:v>
                </c:pt>
                <c:pt idx="421">
                  <c:v>4</c:v>
                </c:pt>
                <c:pt idx="422">
                  <c:v>5</c:v>
                </c:pt>
                <c:pt idx="423">
                  <c:v>6</c:v>
                </c:pt>
                <c:pt idx="424">
                  <c:v>7</c:v>
                </c:pt>
                <c:pt idx="425">
                  <c:v>8</c:v>
                </c:pt>
                <c:pt idx="426">
                  <c:v>9</c:v>
                </c:pt>
                <c:pt idx="427">
                  <c:v>10</c:v>
                </c:pt>
                <c:pt idx="430">
                  <c:v>1</c:v>
                </c:pt>
                <c:pt idx="431">
                  <c:v>2</c:v>
                </c:pt>
                <c:pt idx="432">
                  <c:v>3</c:v>
                </c:pt>
                <c:pt idx="433">
                  <c:v>4</c:v>
                </c:pt>
                <c:pt idx="434">
                  <c:v>5</c:v>
                </c:pt>
                <c:pt idx="435">
                  <c:v>6</c:v>
                </c:pt>
                <c:pt idx="436">
                  <c:v>7</c:v>
                </c:pt>
                <c:pt idx="437">
                  <c:v>8</c:v>
                </c:pt>
                <c:pt idx="438">
                  <c:v>9</c:v>
                </c:pt>
                <c:pt idx="439">
                  <c:v>10</c:v>
                </c:pt>
                <c:pt idx="443">
                  <c:v>1</c:v>
                </c:pt>
                <c:pt idx="444">
                  <c:v>2</c:v>
                </c:pt>
                <c:pt idx="445">
                  <c:v>3</c:v>
                </c:pt>
                <c:pt idx="446">
                  <c:v>4</c:v>
                </c:pt>
                <c:pt idx="447">
                  <c:v>5</c:v>
                </c:pt>
                <c:pt idx="448">
                  <c:v>6</c:v>
                </c:pt>
                <c:pt idx="449">
                  <c:v>7</c:v>
                </c:pt>
                <c:pt idx="450">
                  <c:v>8</c:v>
                </c:pt>
                <c:pt idx="451">
                  <c:v>9</c:v>
                </c:pt>
                <c:pt idx="452">
                  <c:v>10</c:v>
                </c:pt>
                <c:pt idx="454">
                  <c:v>1</c:v>
                </c:pt>
                <c:pt idx="455">
                  <c:v>2</c:v>
                </c:pt>
                <c:pt idx="456">
                  <c:v>3</c:v>
                </c:pt>
                <c:pt idx="457">
                  <c:v>4</c:v>
                </c:pt>
                <c:pt idx="458">
                  <c:v>5</c:v>
                </c:pt>
                <c:pt idx="459">
                  <c:v>6</c:v>
                </c:pt>
                <c:pt idx="460">
                  <c:v>7</c:v>
                </c:pt>
                <c:pt idx="461">
                  <c:v>8</c:v>
                </c:pt>
                <c:pt idx="462">
                  <c:v>9</c:v>
                </c:pt>
                <c:pt idx="463">
                  <c:v>10</c:v>
                </c:pt>
                <c:pt idx="466">
                  <c:v>1</c:v>
                </c:pt>
                <c:pt idx="467">
                  <c:v>2</c:v>
                </c:pt>
                <c:pt idx="468">
                  <c:v>3</c:v>
                </c:pt>
                <c:pt idx="469">
                  <c:v>4</c:v>
                </c:pt>
                <c:pt idx="470">
                  <c:v>5</c:v>
                </c:pt>
                <c:pt idx="471">
                  <c:v>6</c:v>
                </c:pt>
                <c:pt idx="472">
                  <c:v>7</c:v>
                </c:pt>
                <c:pt idx="473">
                  <c:v>8</c:v>
                </c:pt>
                <c:pt idx="474">
                  <c:v>9</c:v>
                </c:pt>
                <c:pt idx="475">
                  <c:v>10</c:v>
                </c:pt>
                <c:pt idx="478">
                  <c:v>1</c:v>
                </c:pt>
                <c:pt idx="479">
                  <c:v>2</c:v>
                </c:pt>
                <c:pt idx="480">
                  <c:v>3</c:v>
                </c:pt>
                <c:pt idx="481">
                  <c:v>4</c:v>
                </c:pt>
                <c:pt idx="482">
                  <c:v>5</c:v>
                </c:pt>
                <c:pt idx="483">
                  <c:v>6</c:v>
                </c:pt>
                <c:pt idx="484">
                  <c:v>7</c:v>
                </c:pt>
                <c:pt idx="485">
                  <c:v>8</c:v>
                </c:pt>
                <c:pt idx="486">
                  <c:v>9</c:v>
                </c:pt>
                <c:pt idx="487">
                  <c:v>10</c:v>
                </c:pt>
                <c:pt idx="491">
                  <c:v>1</c:v>
                </c:pt>
                <c:pt idx="492">
                  <c:v>2</c:v>
                </c:pt>
                <c:pt idx="493">
                  <c:v>3</c:v>
                </c:pt>
                <c:pt idx="494">
                  <c:v>4</c:v>
                </c:pt>
                <c:pt idx="495">
                  <c:v>5</c:v>
                </c:pt>
                <c:pt idx="496">
                  <c:v>6</c:v>
                </c:pt>
                <c:pt idx="497">
                  <c:v>7</c:v>
                </c:pt>
                <c:pt idx="498">
                  <c:v>8</c:v>
                </c:pt>
                <c:pt idx="499">
                  <c:v>9</c:v>
                </c:pt>
                <c:pt idx="500">
                  <c:v>10</c:v>
                </c:pt>
                <c:pt idx="503">
                  <c:v>1</c:v>
                </c:pt>
                <c:pt idx="504">
                  <c:v>2</c:v>
                </c:pt>
                <c:pt idx="505">
                  <c:v>3</c:v>
                </c:pt>
                <c:pt idx="506">
                  <c:v>4</c:v>
                </c:pt>
                <c:pt idx="507">
                  <c:v>5</c:v>
                </c:pt>
                <c:pt idx="508">
                  <c:v>6</c:v>
                </c:pt>
                <c:pt idx="509">
                  <c:v>7</c:v>
                </c:pt>
                <c:pt idx="510">
                  <c:v>8</c:v>
                </c:pt>
                <c:pt idx="511">
                  <c:v>9</c:v>
                </c:pt>
                <c:pt idx="512">
                  <c:v>10</c:v>
                </c:pt>
                <c:pt idx="515">
                  <c:v>1</c:v>
                </c:pt>
                <c:pt idx="516">
                  <c:v>2</c:v>
                </c:pt>
                <c:pt idx="517">
                  <c:v>3</c:v>
                </c:pt>
                <c:pt idx="518">
                  <c:v>4</c:v>
                </c:pt>
                <c:pt idx="519">
                  <c:v>5</c:v>
                </c:pt>
                <c:pt idx="520">
                  <c:v>6</c:v>
                </c:pt>
                <c:pt idx="521">
                  <c:v>7</c:v>
                </c:pt>
                <c:pt idx="522">
                  <c:v>8</c:v>
                </c:pt>
                <c:pt idx="523">
                  <c:v>9</c:v>
                </c:pt>
                <c:pt idx="524">
                  <c:v>10</c:v>
                </c:pt>
                <c:pt idx="527">
                  <c:v>1</c:v>
                </c:pt>
                <c:pt idx="528">
                  <c:v>2</c:v>
                </c:pt>
                <c:pt idx="529">
                  <c:v>3</c:v>
                </c:pt>
                <c:pt idx="530">
                  <c:v>4</c:v>
                </c:pt>
                <c:pt idx="531">
                  <c:v>5</c:v>
                </c:pt>
                <c:pt idx="532">
                  <c:v>6</c:v>
                </c:pt>
                <c:pt idx="533">
                  <c:v>7</c:v>
                </c:pt>
                <c:pt idx="534">
                  <c:v>8</c:v>
                </c:pt>
                <c:pt idx="535">
                  <c:v>9</c:v>
                </c:pt>
                <c:pt idx="536">
                  <c:v>10</c:v>
                </c:pt>
                <c:pt idx="539">
                  <c:v>1</c:v>
                </c:pt>
                <c:pt idx="540">
                  <c:v>2</c:v>
                </c:pt>
                <c:pt idx="541">
                  <c:v>3</c:v>
                </c:pt>
                <c:pt idx="542">
                  <c:v>4</c:v>
                </c:pt>
                <c:pt idx="543">
                  <c:v>5</c:v>
                </c:pt>
                <c:pt idx="544">
                  <c:v>6</c:v>
                </c:pt>
                <c:pt idx="545">
                  <c:v>7</c:v>
                </c:pt>
                <c:pt idx="546">
                  <c:v>8</c:v>
                </c:pt>
                <c:pt idx="547">
                  <c:v>9</c:v>
                </c:pt>
                <c:pt idx="548">
                  <c:v>10</c:v>
                </c:pt>
                <c:pt idx="551">
                  <c:v>1</c:v>
                </c:pt>
                <c:pt idx="552">
                  <c:v>2</c:v>
                </c:pt>
                <c:pt idx="553">
                  <c:v>3</c:v>
                </c:pt>
                <c:pt idx="554">
                  <c:v>4</c:v>
                </c:pt>
                <c:pt idx="555">
                  <c:v>5</c:v>
                </c:pt>
                <c:pt idx="556">
                  <c:v>6</c:v>
                </c:pt>
                <c:pt idx="557">
                  <c:v>7</c:v>
                </c:pt>
                <c:pt idx="558">
                  <c:v>8</c:v>
                </c:pt>
                <c:pt idx="559">
                  <c:v>9</c:v>
                </c:pt>
                <c:pt idx="560">
                  <c:v>10</c:v>
                </c:pt>
                <c:pt idx="563">
                  <c:v>1</c:v>
                </c:pt>
                <c:pt idx="564">
                  <c:v>2</c:v>
                </c:pt>
                <c:pt idx="565">
                  <c:v>3</c:v>
                </c:pt>
                <c:pt idx="566">
                  <c:v>4</c:v>
                </c:pt>
                <c:pt idx="567">
                  <c:v>5</c:v>
                </c:pt>
                <c:pt idx="568">
                  <c:v>6</c:v>
                </c:pt>
                <c:pt idx="569">
                  <c:v>7</c:v>
                </c:pt>
                <c:pt idx="570">
                  <c:v>8</c:v>
                </c:pt>
                <c:pt idx="571">
                  <c:v>9</c:v>
                </c:pt>
                <c:pt idx="572">
                  <c:v>10</c:v>
                </c:pt>
                <c:pt idx="575">
                  <c:v>1</c:v>
                </c:pt>
                <c:pt idx="576">
                  <c:v>2</c:v>
                </c:pt>
                <c:pt idx="577">
                  <c:v>3</c:v>
                </c:pt>
                <c:pt idx="578">
                  <c:v>4</c:v>
                </c:pt>
                <c:pt idx="579">
                  <c:v>5</c:v>
                </c:pt>
                <c:pt idx="580">
                  <c:v>6</c:v>
                </c:pt>
                <c:pt idx="581">
                  <c:v>7</c:v>
                </c:pt>
                <c:pt idx="582">
                  <c:v>8</c:v>
                </c:pt>
                <c:pt idx="583">
                  <c:v>9</c:v>
                </c:pt>
                <c:pt idx="584">
                  <c:v>10</c:v>
                </c:pt>
                <c:pt idx="587">
                  <c:v>1</c:v>
                </c:pt>
                <c:pt idx="588">
                  <c:v>2</c:v>
                </c:pt>
                <c:pt idx="589">
                  <c:v>3</c:v>
                </c:pt>
                <c:pt idx="590">
                  <c:v>4</c:v>
                </c:pt>
                <c:pt idx="591">
                  <c:v>5</c:v>
                </c:pt>
                <c:pt idx="592">
                  <c:v>6</c:v>
                </c:pt>
                <c:pt idx="593">
                  <c:v>7</c:v>
                </c:pt>
                <c:pt idx="594">
                  <c:v>8</c:v>
                </c:pt>
                <c:pt idx="595">
                  <c:v>9</c:v>
                </c:pt>
                <c:pt idx="596">
                  <c:v>10</c:v>
                </c:pt>
                <c:pt idx="599">
                  <c:v>1</c:v>
                </c:pt>
                <c:pt idx="600">
                  <c:v>2</c:v>
                </c:pt>
                <c:pt idx="601">
                  <c:v>3</c:v>
                </c:pt>
                <c:pt idx="602">
                  <c:v>4</c:v>
                </c:pt>
                <c:pt idx="603">
                  <c:v>5</c:v>
                </c:pt>
                <c:pt idx="604">
                  <c:v>6</c:v>
                </c:pt>
                <c:pt idx="605">
                  <c:v>7</c:v>
                </c:pt>
                <c:pt idx="606">
                  <c:v>8</c:v>
                </c:pt>
                <c:pt idx="607">
                  <c:v>9</c:v>
                </c:pt>
                <c:pt idx="608">
                  <c:v>10</c:v>
                </c:pt>
                <c:pt idx="611">
                  <c:v>1</c:v>
                </c:pt>
                <c:pt idx="612">
                  <c:v>2</c:v>
                </c:pt>
                <c:pt idx="613">
                  <c:v>3</c:v>
                </c:pt>
                <c:pt idx="614">
                  <c:v>4</c:v>
                </c:pt>
                <c:pt idx="615">
                  <c:v>5</c:v>
                </c:pt>
                <c:pt idx="616">
                  <c:v>6</c:v>
                </c:pt>
                <c:pt idx="617">
                  <c:v>7</c:v>
                </c:pt>
                <c:pt idx="618">
                  <c:v>8</c:v>
                </c:pt>
                <c:pt idx="619">
                  <c:v>9</c:v>
                </c:pt>
                <c:pt idx="620">
                  <c:v>10</c:v>
                </c:pt>
                <c:pt idx="623">
                  <c:v>1</c:v>
                </c:pt>
                <c:pt idx="624">
                  <c:v>2</c:v>
                </c:pt>
                <c:pt idx="625">
                  <c:v>3</c:v>
                </c:pt>
                <c:pt idx="626">
                  <c:v>4</c:v>
                </c:pt>
                <c:pt idx="627">
                  <c:v>5</c:v>
                </c:pt>
                <c:pt idx="628">
                  <c:v>6</c:v>
                </c:pt>
                <c:pt idx="629">
                  <c:v>7</c:v>
                </c:pt>
                <c:pt idx="630">
                  <c:v>8</c:v>
                </c:pt>
                <c:pt idx="631">
                  <c:v>9</c:v>
                </c:pt>
                <c:pt idx="632">
                  <c:v>10</c:v>
                </c:pt>
                <c:pt idx="635">
                  <c:v>1</c:v>
                </c:pt>
                <c:pt idx="636">
                  <c:v>2</c:v>
                </c:pt>
                <c:pt idx="637">
                  <c:v>3</c:v>
                </c:pt>
                <c:pt idx="638">
                  <c:v>4</c:v>
                </c:pt>
                <c:pt idx="639">
                  <c:v>5</c:v>
                </c:pt>
                <c:pt idx="640">
                  <c:v>6</c:v>
                </c:pt>
                <c:pt idx="641">
                  <c:v>7</c:v>
                </c:pt>
                <c:pt idx="642">
                  <c:v>8</c:v>
                </c:pt>
                <c:pt idx="643">
                  <c:v>9</c:v>
                </c:pt>
                <c:pt idx="644">
                  <c:v>10</c:v>
                </c:pt>
                <c:pt idx="647">
                  <c:v>1</c:v>
                </c:pt>
                <c:pt idx="648">
                  <c:v>2</c:v>
                </c:pt>
                <c:pt idx="649">
                  <c:v>3</c:v>
                </c:pt>
                <c:pt idx="650">
                  <c:v>4</c:v>
                </c:pt>
                <c:pt idx="651">
                  <c:v>5</c:v>
                </c:pt>
                <c:pt idx="652">
                  <c:v>6</c:v>
                </c:pt>
                <c:pt idx="653">
                  <c:v>7</c:v>
                </c:pt>
                <c:pt idx="654">
                  <c:v>8</c:v>
                </c:pt>
                <c:pt idx="655">
                  <c:v>9</c:v>
                </c:pt>
                <c:pt idx="656">
                  <c:v>10</c:v>
                </c:pt>
                <c:pt idx="659">
                  <c:v>1</c:v>
                </c:pt>
                <c:pt idx="660">
                  <c:v>2</c:v>
                </c:pt>
                <c:pt idx="661">
                  <c:v>3</c:v>
                </c:pt>
                <c:pt idx="662">
                  <c:v>4</c:v>
                </c:pt>
                <c:pt idx="663">
                  <c:v>5</c:v>
                </c:pt>
                <c:pt idx="664">
                  <c:v>6</c:v>
                </c:pt>
                <c:pt idx="665">
                  <c:v>7</c:v>
                </c:pt>
                <c:pt idx="666">
                  <c:v>8</c:v>
                </c:pt>
                <c:pt idx="667">
                  <c:v>9</c:v>
                </c:pt>
                <c:pt idx="668">
                  <c:v>10</c:v>
                </c:pt>
                <c:pt idx="671">
                  <c:v>1</c:v>
                </c:pt>
                <c:pt idx="672">
                  <c:v>2</c:v>
                </c:pt>
                <c:pt idx="673">
                  <c:v>3</c:v>
                </c:pt>
                <c:pt idx="674">
                  <c:v>4</c:v>
                </c:pt>
                <c:pt idx="675">
                  <c:v>5</c:v>
                </c:pt>
                <c:pt idx="676">
                  <c:v>6</c:v>
                </c:pt>
                <c:pt idx="677">
                  <c:v>7</c:v>
                </c:pt>
                <c:pt idx="678">
                  <c:v>8</c:v>
                </c:pt>
                <c:pt idx="679">
                  <c:v>9</c:v>
                </c:pt>
                <c:pt idx="680">
                  <c:v>10</c:v>
                </c:pt>
                <c:pt idx="683">
                  <c:v>1</c:v>
                </c:pt>
                <c:pt idx="684">
                  <c:v>2</c:v>
                </c:pt>
                <c:pt idx="685">
                  <c:v>3</c:v>
                </c:pt>
                <c:pt idx="686">
                  <c:v>4</c:v>
                </c:pt>
                <c:pt idx="687">
                  <c:v>5</c:v>
                </c:pt>
                <c:pt idx="688">
                  <c:v>6</c:v>
                </c:pt>
                <c:pt idx="689">
                  <c:v>7</c:v>
                </c:pt>
                <c:pt idx="690">
                  <c:v>8</c:v>
                </c:pt>
                <c:pt idx="691">
                  <c:v>9</c:v>
                </c:pt>
                <c:pt idx="692">
                  <c:v>10</c:v>
                </c:pt>
                <c:pt idx="695">
                  <c:v>1</c:v>
                </c:pt>
                <c:pt idx="696">
                  <c:v>2</c:v>
                </c:pt>
                <c:pt idx="697">
                  <c:v>3</c:v>
                </c:pt>
                <c:pt idx="698">
                  <c:v>4</c:v>
                </c:pt>
                <c:pt idx="699">
                  <c:v>5</c:v>
                </c:pt>
                <c:pt idx="700">
                  <c:v>6</c:v>
                </c:pt>
                <c:pt idx="701">
                  <c:v>7</c:v>
                </c:pt>
                <c:pt idx="702">
                  <c:v>8</c:v>
                </c:pt>
                <c:pt idx="703">
                  <c:v>9</c:v>
                </c:pt>
                <c:pt idx="704">
                  <c:v>10</c:v>
                </c:pt>
                <c:pt idx="707">
                  <c:v>1</c:v>
                </c:pt>
                <c:pt idx="708">
                  <c:v>2</c:v>
                </c:pt>
                <c:pt idx="709">
                  <c:v>3</c:v>
                </c:pt>
                <c:pt idx="710">
                  <c:v>4</c:v>
                </c:pt>
                <c:pt idx="711">
                  <c:v>5</c:v>
                </c:pt>
                <c:pt idx="712">
                  <c:v>6</c:v>
                </c:pt>
                <c:pt idx="713">
                  <c:v>7</c:v>
                </c:pt>
                <c:pt idx="714">
                  <c:v>8</c:v>
                </c:pt>
                <c:pt idx="715">
                  <c:v>9</c:v>
                </c:pt>
                <c:pt idx="716">
                  <c:v>10</c:v>
                </c:pt>
                <c:pt idx="719">
                  <c:v>1</c:v>
                </c:pt>
                <c:pt idx="720">
                  <c:v>2</c:v>
                </c:pt>
                <c:pt idx="721">
                  <c:v>3</c:v>
                </c:pt>
                <c:pt idx="722">
                  <c:v>4</c:v>
                </c:pt>
                <c:pt idx="723">
                  <c:v>5</c:v>
                </c:pt>
                <c:pt idx="724">
                  <c:v>6</c:v>
                </c:pt>
                <c:pt idx="725">
                  <c:v>7</c:v>
                </c:pt>
                <c:pt idx="726">
                  <c:v>8</c:v>
                </c:pt>
                <c:pt idx="727">
                  <c:v>9</c:v>
                </c:pt>
                <c:pt idx="728">
                  <c:v>10</c:v>
                </c:pt>
                <c:pt idx="731">
                  <c:v>1</c:v>
                </c:pt>
                <c:pt idx="732">
                  <c:v>2</c:v>
                </c:pt>
                <c:pt idx="733">
                  <c:v>3</c:v>
                </c:pt>
                <c:pt idx="734">
                  <c:v>4</c:v>
                </c:pt>
                <c:pt idx="735">
                  <c:v>5</c:v>
                </c:pt>
                <c:pt idx="736">
                  <c:v>6</c:v>
                </c:pt>
                <c:pt idx="737">
                  <c:v>7</c:v>
                </c:pt>
                <c:pt idx="738">
                  <c:v>8</c:v>
                </c:pt>
                <c:pt idx="739">
                  <c:v>9</c:v>
                </c:pt>
                <c:pt idx="740">
                  <c:v>10</c:v>
                </c:pt>
                <c:pt idx="743">
                  <c:v>1</c:v>
                </c:pt>
                <c:pt idx="744">
                  <c:v>2</c:v>
                </c:pt>
                <c:pt idx="745">
                  <c:v>3</c:v>
                </c:pt>
                <c:pt idx="746">
                  <c:v>4</c:v>
                </c:pt>
                <c:pt idx="747">
                  <c:v>5</c:v>
                </c:pt>
                <c:pt idx="748">
                  <c:v>6</c:v>
                </c:pt>
                <c:pt idx="749">
                  <c:v>7</c:v>
                </c:pt>
                <c:pt idx="750">
                  <c:v>8</c:v>
                </c:pt>
                <c:pt idx="751">
                  <c:v>9</c:v>
                </c:pt>
                <c:pt idx="752">
                  <c:v>10</c:v>
                </c:pt>
                <c:pt idx="755">
                  <c:v>1</c:v>
                </c:pt>
                <c:pt idx="756">
                  <c:v>2</c:v>
                </c:pt>
                <c:pt idx="757">
                  <c:v>3</c:v>
                </c:pt>
                <c:pt idx="758">
                  <c:v>4</c:v>
                </c:pt>
                <c:pt idx="759">
                  <c:v>5</c:v>
                </c:pt>
                <c:pt idx="760">
                  <c:v>6</c:v>
                </c:pt>
                <c:pt idx="761">
                  <c:v>7</c:v>
                </c:pt>
                <c:pt idx="762">
                  <c:v>8</c:v>
                </c:pt>
                <c:pt idx="763">
                  <c:v>9</c:v>
                </c:pt>
                <c:pt idx="764">
                  <c:v>10</c:v>
                </c:pt>
                <c:pt idx="767">
                  <c:v>1</c:v>
                </c:pt>
                <c:pt idx="768">
                  <c:v>2</c:v>
                </c:pt>
                <c:pt idx="769">
                  <c:v>3</c:v>
                </c:pt>
                <c:pt idx="770">
                  <c:v>4</c:v>
                </c:pt>
                <c:pt idx="771">
                  <c:v>5</c:v>
                </c:pt>
                <c:pt idx="772">
                  <c:v>6</c:v>
                </c:pt>
                <c:pt idx="773">
                  <c:v>7</c:v>
                </c:pt>
                <c:pt idx="774">
                  <c:v>8</c:v>
                </c:pt>
                <c:pt idx="775">
                  <c:v>9</c:v>
                </c:pt>
                <c:pt idx="776">
                  <c:v>10</c:v>
                </c:pt>
                <c:pt idx="779">
                  <c:v>1</c:v>
                </c:pt>
                <c:pt idx="780">
                  <c:v>2</c:v>
                </c:pt>
                <c:pt idx="781">
                  <c:v>3</c:v>
                </c:pt>
                <c:pt idx="782">
                  <c:v>4</c:v>
                </c:pt>
                <c:pt idx="783">
                  <c:v>5</c:v>
                </c:pt>
                <c:pt idx="784">
                  <c:v>6</c:v>
                </c:pt>
                <c:pt idx="785">
                  <c:v>7</c:v>
                </c:pt>
                <c:pt idx="786">
                  <c:v>8</c:v>
                </c:pt>
                <c:pt idx="787">
                  <c:v>9</c:v>
                </c:pt>
                <c:pt idx="788">
                  <c:v>10</c:v>
                </c:pt>
                <c:pt idx="791">
                  <c:v>1</c:v>
                </c:pt>
                <c:pt idx="792">
                  <c:v>2</c:v>
                </c:pt>
                <c:pt idx="793">
                  <c:v>3</c:v>
                </c:pt>
                <c:pt idx="794">
                  <c:v>4</c:v>
                </c:pt>
                <c:pt idx="795">
                  <c:v>5</c:v>
                </c:pt>
                <c:pt idx="796">
                  <c:v>6</c:v>
                </c:pt>
                <c:pt idx="797">
                  <c:v>7</c:v>
                </c:pt>
                <c:pt idx="798">
                  <c:v>8</c:v>
                </c:pt>
                <c:pt idx="799">
                  <c:v>9</c:v>
                </c:pt>
                <c:pt idx="800">
                  <c:v>10</c:v>
                </c:pt>
                <c:pt idx="803">
                  <c:v>1</c:v>
                </c:pt>
                <c:pt idx="804">
                  <c:v>2</c:v>
                </c:pt>
                <c:pt idx="805">
                  <c:v>3</c:v>
                </c:pt>
                <c:pt idx="806">
                  <c:v>4</c:v>
                </c:pt>
                <c:pt idx="807">
                  <c:v>5</c:v>
                </c:pt>
                <c:pt idx="808">
                  <c:v>6</c:v>
                </c:pt>
                <c:pt idx="809">
                  <c:v>7</c:v>
                </c:pt>
                <c:pt idx="810">
                  <c:v>8</c:v>
                </c:pt>
                <c:pt idx="811">
                  <c:v>9</c:v>
                </c:pt>
                <c:pt idx="812">
                  <c:v>10</c:v>
                </c:pt>
                <c:pt idx="814">
                  <c:v>1</c:v>
                </c:pt>
                <c:pt idx="815">
                  <c:v>2</c:v>
                </c:pt>
                <c:pt idx="816">
                  <c:v>3</c:v>
                </c:pt>
                <c:pt idx="817">
                  <c:v>4</c:v>
                </c:pt>
                <c:pt idx="818">
                  <c:v>5</c:v>
                </c:pt>
                <c:pt idx="819">
                  <c:v>6</c:v>
                </c:pt>
                <c:pt idx="820">
                  <c:v>7</c:v>
                </c:pt>
                <c:pt idx="821">
                  <c:v>8</c:v>
                </c:pt>
                <c:pt idx="822">
                  <c:v>9</c:v>
                </c:pt>
                <c:pt idx="823">
                  <c:v>10</c:v>
                </c:pt>
                <c:pt idx="826">
                  <c:v>1</c:v>
                </c:pt>
                <c:pt idx="827">
                  <c:v>2</c:v>
                </c:pt>
                <c:pt idx="828">
                  <c:v>3</c:v>
                </c:pt>
                <c:pt idx="829">
                  <c:v>4</c:v>
                </c:pt>
                <c:pt idx="830">
                  <c:v>5</c:v>
                </c:pt>
                <c:pt idx="831">
                  <c:v>6</c:v>
                </c:pt>
                <c:pt idx="832">
                  <c:v>7</c:v>
                </c:pt>
                <c:pt idx="833">
                  <c:v>8</c:v>
                </c:pt>
                <c:pt idx="834">
                  <c:v>9</c:v>
                </c:pt>
                <c:pt idx="835">
                  <c:v>10</c:v>
                </c:pt>
                <c:pt idx="838">
                  <c:v>1</c:v>
                </c:pt>
                <c:pt idx="839">
                  <c:v>2</c:v>
                </c:pt>
                <c:pt idx="840">
                  <c:v>3</c:v>
                </c:pt>
                <c:pt idx="841">
                  <c:v>4</c:v>
                </c:pt>
                <c:pt idx="842">
                  <c:v>5</c:v>
                </c:pt>
                <c:pt idx="843">
                  <c:v>6</c:v>
                </c:pt>
                <c:pt idx="844">
                  <c:v>7</c:v>
                </c:pt>
                <c:pt idx="845">
                  <c:v>8</c:v>
                </c:pt>
                <c:pt idx="846">
                  <c:v>9</c:v>
                </c:pt>
                <c:pt idx="847">
                  <c:v>10</c:v>
                </c:pt>
                <c:pt idx="850">
                  <c:v>1</c:v>
                </c:pt>
                <c:pt idx="851">
                  <c:v>2</c:v>
                </c:pt>
                <c:pt idx="852">
                  <c:v>3</c:v>
                </c:pt>
                <c:pt idx="853">
                  <c:v>4</c:v>
                </c:pt>
                <c:pt idx="854">
                  <c:v>5</c:v>
                </c:pt>
                <c:pt idx="855">
                  <c:v>6</c:v>
                </c:pt>
                <c:pt idx="856">
                  <c:v>7</c:v>
                </c:pt>
                <c:pt idx="857">
                  <c:v>8</c:v>
                </c:pt>
                <c:pt idx="858">
                  <c:v>9</c:v>
                </c:pt>
                <c:pt idx="859">
                  <c:v>10</c:v>
                </c:pt>
                <c:pt idx="862">
                  <c:v>1</c:v>
                </c:pt>
                <c:pt idx="863">
                  <c:v>2</c:v>
                </c:pt>
                <c:pt idx="864">
                  <c:v>3</c:v>
                </c:pt>
                <c:pt idx="865">
                  <c:v>4</c:v>
                </c:pt>
                <c:pt idx="866">
                  <c:v>5</c:v>
                </c:pt>
                <c:pt idx="867">
                  <c:v>6</c:v>
                </c:pt>
                <c:pt idx="868">
                  <c:v>7</c:v>
                </c:pt>
                <c:pt idx="869">
                  <c:v>8</c:v>
                </c:pt>
                <c:pt idx="870">
                  <c:v>9</c:v>
                </c:pt>
                <c:pt idx="871">
                  <c:v>10</c:v>
                </c:pt>
                <c:pt idx="874">
                  <c:v>1</c:v>
                </c:pt>
                <c:pt idx="875">
                  <c:v>2</c:v>
                </c:pt>
                <c:pt idx="876">
                  <c:v>3</c:v>
                </c:pt>
                <c:pt idx="877">
                  <c:v>4</c:v>
                </c:pt>
                <c:pt idx="878">
                  <c:v>5</c:v>
                </c:pt>
                <c:pt idx="879">
                  <c:v>6</c:v>
                </c:pt>
                <c:pt idx="880">
                  <c:v>7</c:v>
                </c:pt>
                <c:pt idx="881">
                  <c:v>8</c:v>
                </c:pt>
                <c:pt idx="882">
                  <c:v>9</c:v>
                </c:pt>
                <c:pt idx="883">
                  <c:v>10</c:v>
                </c:pt>
                <c:pt idx="886">
                  <c:v>1</c:v>
                </c:pt>
                <c:pt idx="887">
                  <c:v>2</c:v>
                </c:pt>
                <c:pt idx="888">
                  <c:v>3</c:v>
                </c:pt>
                <c:pt idx="889">
                  <c:v>4</c:v>
                </c:pt>
                <c:pt idx="890">
                  <c:v>5</c:v>
                </c:pt>
                <c:pt idx="891">
                  <c:v>6</c:v>
                </c:pt>
                <c:pt idx="892">
                  <c:v>7</c:v>
                </c:pt>
                <c:pt idx="893">
                  <c:v>8</c:v>
                </c:pt>
                <c:pt idx="894">
                  <c:v>9</c:v>
                </c:pt>
                <c:pt idx="895">
                  <c:v>10</c:v>
                </c:pt>
                <c:pt idx="898">
                  <c:v>1</c:v>
                </c:pt>
                <c:pt idx="899">
                  <c:v>2</c:v>
                </c:pt>
                <c:pt idx="900">
                  <c:v>3</c:v>
                </c:pt>
                <c:pt idx="901">
                  <c:v>4</c:v>
                </c:pt>
                <c:pt idx="902">
                  <c:v>5</c:v>
                </c:pt>
                <c:pt idx="903">
                  <c:v>6</c:v>
                </c:pt>
                <c:pt idx="904">
                  <c:v>7</c:v>
                </c:pt>
                <c:pt idx="905">
                  <c:v>8</c:v>
                </c:pt>
                <c:pt idx="906">
                  <c:v>9</c:v>
                </c:pt>
                <c:pt idx="907">
                  <c:v>10</c:v>
                </c:pt>
                <c:pt idx="910">
                  <c:v>1</c:v>
                </c:pt>
                <c:pt idx="911">
                  <c:v>2</c:v>
                </c:pt>
                <c:pt idx="912">
                  <c:v>3</c:v>
                </c:pt>
                <c:pt idx="913">
                  <c:v>4</c:v>
                </c:pt>
                <c:pt idx="914">
                  <c:v>5</c:v>
                </c:pt>
                <c:pt idx="915">
                  <c:v>6</c:v>
                </c:pt>
                <c:pt idx="916">
                  <c:v>7</c:v>
                </c:pt>
                <c:pt idx="917">
                  <c:v>8</c:v>
                </c:pt>
                <c:pt idx="918">
                  <c:v>9</c:v>
                </c:pt>
                <c:pt idx="919">
                  <c:v>10</c:v>
                </c:pt>
                <c:pt idx="923">
                  <c:v>1</c:v>
                </c:pt>
                <c:pt idx="924">
                  <c:v>2</c:v>
                </c:pt>
                <c:pt idx="925">
                  <c:v>3</c:v>
                </c:pt>
                <c:pt idx="926">
                  <c:v>4</c:v>
                </c:pt>
                <c:pt idx="927">
                  <c:v>5</c:v>
                </c:pt>
                <c:pt idx="928">
                  <c:v>6</c:v>
                </c:pt>
                <c:pt idx="929">
                  <c:v>7</c:v>
                </c:pt>
                <c:pt idx="930">
                  <c:v>8</c:v>
                </c:pt>
                <c:pt idx="931">
                  <c:v>9</c:v>
                </c:pt>
                <c:pt idx="932">
                  <c:v>10</c:v>
                </c:pt>
              </c:numCache>
            </c:numRef>
          </c:xVal>
          <c:yVal>
            <c:numRef>
              <c:f>Sheet1!$D$2:$D$934</c:f>
              <c:numCache>
                <c:formatCode>0.00</c:formatCode>
                <c:ptCount val="933"/>
                <c:pt idx="0">
                  <c:v>-2708.2322340267151</c:v>
                </c:pt>
                <c:pt idx="1">
                  <c:v>-1815.0199627201141</c:v>
                </c:pt>
                <c:pt idx="2">
                  <c:v>-2607.3365698073981</c:v>
                </c:pt>
                <c:pt idx="3">
                  <c:v>1328.564725912968</c:v>
                </c:pt>
                <c:pt idx="4">
                  <c:v>3389.5600921148321</c:v>
                </c:pt>
                <c:pt idx="5">
                  <c:v>78.753828975387208</c:v>
                </c:pt>
                <c:pt idx="6">
                  <c:v>2072.4045878176989</c:v>
                </c:pt>
                <c:pt idx="7">
                  <c:v>4280.6349859838874</c:v>
                </c:pt>
                <c:pt idx="8">
                  <c:v>-1106.185159259551</c:v>
                </c:pt>
                <c:pt idx="9">
                  <c:v>-2913.1442949908451</c:v>
                </c:pt>
                <c:pt idx="12">
                  <c:v>986.59717898156703</c:v>
                </c:pt>
                <c:pt idx="13">
                  <c:v>4607.4604206122849</c:v>
                </c:pt>
                <c:pt idx="14">
                  <c:v>-481.74581227036288</c:v>
                </c:pt>
                <c:pt idx="15">
                  <c:v>-373.79205531886902</c:v>
                </c:pt>
                <c:pt idx="16">
                  <c:v>3271.8343770561419</c:v>
                </c:pt>
                <c:pt idx="17">
                  <c:v>340.77476485967372</c:v>
                </c:pt>
                <c:pt idx="18">
                  <c:v>-3788.623066726891</c:v>
                </c:pt>
                <c:pt idx="19">
                  <c:v>-1066.412553551889</c:v>
                </c:pt>
                <c:pt idx="20">
                  <c:v>-3372.1084851036221</c:v>
                </c:pt>
                <c:pt idx="21">
                  <c:v>-123.9847685379857</c:v>
                </c:pt>
                <c:pt idx="25">
                  <c:v>8796.0542113208921</c:v>
                </c:pt>
                <c:pt idx="26">
                  <c:v>3374.4605755265411</c:v>
                </c:pt>
                <c:pt idx="27">
                  <c:v>-2252.035742724619</c:v>
                </c:pt>
                <c:pt idx="28">
                  <c:v>76.685745707616022</c:v>
                </c:pt>
                <c:pt idx="29">
                  <c:v>561.78271989139319</c:v>
                </c:pt>
                <c:pt idx="30">
                  <c:v>-2860.071943799474</c:v>
                </c:pt>
                <c:pt idx="31">
                  <c:v>-5289.3751229855343</c:v>
                </c:pt>
                <c:pt idx="32">
                  <c:v>-1979.591505258004</c:v>
                </c:pt>
                <c:pt idx="33">
                  <c:v>-3308.0482714058562</c:v>
                </c:pt>
                <c:pt idx="34">
                  <c:v>2880.1393337272889</c:v>
                </c:pt>
                <c:pt idx="37">
                  <c:v>-3942.432998730304</c:v>
                </c:pt>
                <c:pt idx="38">
                  <c:v>-2176.5789912947121</c:v>
                </c:pt>
                <c:pt idx="39">
                  <c:v>-1635.530928692411</c:v>
                </c:pt>
                <c:pt idx="40">
                  <c:v>110.8051791763591</c:v>
                </c:pt>
                <c:pt idx="41">
                  <c:v>3420.1164505941938</c:v>
                </c:pt>
                <c:pt idx="42">
                  <c:v>2447.7717145577731</c:v>
                </c:pt>
                <c:pt idx="43">
                  <c:v>-259.95355153599172</c:v>
                </c:pt>
                <c:pt idx="44">
                  <c:v>3964.0837864109708</c:v>
                </c:pt>
                <c:pt idx="45">
                  <c:v>-303.74910184821078</c:v>
                </c:pt>
                <c:pt idx="46">
                  <c:v>-1624.5315586372651</c:v>
                </c:pt>
                <c:pt idx="49">
                  <c:v>3606.072772862075</c:v>
                </c:pt>
                <c:pt idx="50">
                  <c:v>1147.841796604818</c:v>
                </c:pt>
                <c:pt idx="51">
                  <c:v>-2408.3977734725072</c:v>
                </c:pt>
                <c:pt idx="52">
                  <c:v>-2438.414869610363</c:v>
                </c:pt>
                <c:pt idx="53">
                  <c:v>-687.45244277826214</c:v>
                </c:pt>
                <c:pt idx="54">
                  <c:v>-690.82209606519484</c:v>
                </c:pt>
                <c:pt idx="55">
                  <c:v>-1484.598783717292</c:v>
                </c:pt>
                <c:pt idx="56">
                  <c:v>-1742.486255340662</c:v>
                </c:pt>
                <c:pt idx="57">
                  <c:v>912.55392063381237</c:v>
                </c:pt>
                <c:pt idx="58">
                  <c:v>3785.7037308828271</c:v>
                </c:pt>
                <c:pt idx="61">
                  <c:v>-4242.6595754719119</c:v>
                </c:pt>
                <c:pt idx="62">
                  <c:v>-2538.723680727926</c:v>
                </c:pt>
                <c:pt idx="63">
                  <c:v>-1935.8104342627651</c:v>
                </c:pt>
                <c:pt idx="64">
                  <c:v>-1245.862264578006</c:v>
                </c:pt>
                <c:pt idx="65">
                  <c:v>5422.6125295850043</c:v>
                </c:pt>
                <c:pt idx="66">
                  <c:v>112.71430626317721</c:v>
                </c:pt>
                <c:pt idx="67">
                  <c:v>1115.674447719606</c:v>
                </c:pt>
                <c:pt idx="68">
                  <c:v>1308.088940919705</c:v>
                </c:pt>
                <c:pt idx="69">
                  <c:v>2303.6256009093472</c:v>
                </c:pt>
                <c:pt idx="70">
                  <c:v>-299.65987035624738</c:v>
                </c:pt>
                <c:pt idx="73">
                  <c:v>-3415.5041205210769</c:v>
                </c:pt>
                <c:pt idx="74">
                  <c:v>-1429.3391841066771</c:v>
                </c:pt>
                <c:pt idx="75">
                  <c:v>-3364.4207886380041</c:v>
                </c:pt>
                <c:pt idx="76">
                  <c:v>459.38735903433252</c:v>
                </c:pt>
                <c:pt idx="77">
                  <c:v>-848.82709979227059</c:v>
                </c:pt>
                <c:pt idx="78">
                  <c:v>1674.487271864248</c:v>
                </c:pt>
                <c:pt idx="79">
                  <c:v>1694.3871247424231</c:v>
                </c:pt>
                <c:pt idx="80">
                  <c:v>3110.648072235022</c:v>
                </c:pt>
                <c:pt idx="81">
                  <c:v>4594.7633794058074</c:v>
                </c:pt>
                <c:pt idx="82">
                  <c:v>-2475.5820142240432</c:v>
                </c:pt>
                <c:pt idx="85">
                  <c:v>5017.9581814653166</c:v>
                </c:pt>
                <c:pt idx="86">
                  <c:v>5767.1365345666791</c:v>
                </c:pt>
                <c:pt idx="87">
                  <c:v>-483.07119581088261</c:v>
                </c:pt>
                <c:pt idx="88">
                  <c:v>-2395.901098260962</c:v>
                </c:pt>
                <c:pt idx="89">
                  <c:v>423.11775561379318</c:v>
                </c:pt>
                <c:pt idx="90">
                  <c:v>-2612.844844262157</c:v>
                </c:pt>
                <c:pt idx="91">
                  <c:v>899.07080821549221</c:v>
                </c:pt>
                <c:pt idx="92">
                  <c:v>-2890.597339948567</c:v>
                </c:pt>
                <c:pt idx="93">
                  <c:v>-4701.1281626836617</c:v>
                </c:pt>
                <c:pt idx="94">
                  <c:v>976.25936110536611</c:v>
                </c:pt>
                <c:pt idx="97">
                  <c:v>7289.5128297681213</c:v>
                </c:pt>
                <c:pt idx="98">
                  <c:v>-511.53311462474551</c:v>
                </c:pt>
                <c:pt idx="99">
                  <c:v>-823.56498246308092</c:v>
                </c:pt>
                <c:pt idx="100">
                  <c:v>-3925.5854160665008</c:v>
                </c:pt>
                <c:pt idx="101">
                  <c:v>-357.53063748404008</c:v>
                </c:pt>
                <c:pt idx="102">
                  <c:v>-5674.5561658432189</c:v>
                </c:pt>
                <c:pt idx="103">
                  <c:v>-2465.8425814876259</c:v>
                </c:pt>
                <c:pt idx="104">
                  <c:v>2060.2346779238342</c:v>
                </c:pt>
                <c:pt idx="105">
                  <c:v>496.51202926807349</c:v>
                </c:pt>
                <c:pt idx="106">
                  <c:v>3912.3533610087829</c:v>
                </c:pt>
                <c:pt idx="109">
                  <c:v>10514.003383558749</c:v>
                </c:pt>
                <c:pt idx="110">
                  <c:v>4692.9168808530849</c:v>
                </c:pt>
                <c:pt idx="111">
                  <c:v>-5401.3521713892096</c:v>
                </c:pt>
                <c:pt idx="112">
                  <c:v>-2546.5797365709609</c:v>
                </c:pt>
                <c:pt idx="113">
                  <c:v>-5419.4816491545098</c:v>
                </c:pt>
                <c:pt idx="114">
                  <c:v>-4008.2554344329919</c:v>
                </c:pt>
                <c:pt idx="115">
                  <c:v>723.32567589137864</c:v>
                </c:pt>
                <c:pt idx="116">
                  <c:v>-2141.618908786013</c:v>
                </c:pt>
                <c:pt idx="117">
                  <c:v>-1470.8240798598131</c:v>
                </c:pt>
                <c:pt idx="118">
                  <c:v>5057.8660398897337</c:v>
                </c:pt>
                <c:pt idx="121">
                  <c:v>-2525.4399491291852</c:v>
                </c:pt>
                <c:pt idx="122">
                  <c:v>-2540.8338399830031</c:v>
                </c:pt>
                <c:pt idx="123">
                  <c:v>2992.1921540661392</c:v>
                </c:pt>
                <c:pt idx="124">
                  <c:v>-871.84741087190548</c:v>
                </c:pt>
                <c:pt idx="125">
                  <c:v>2438.5704212777409</c:v>
                </c:pt>
                <c:pt idx="126">
                  <c:v>3456.2647613628851</c:v>
                </c:pt>
                <c:pt idx="127">
                  <c:v>-557.27511530575998</c:v>
                </c:pt>
                <c:pt idx="128">
                  <c:v>-791.9975578088787</c:v>
                </c:pt>
                <c:pt idx="129">
                  <c:v>175.4038991196158</c:v>
                </c:pt>
                <c:pt idx="130">
                  <c:v>-1775.0373627282661</c:v>
                </c:pt>
                <c:pt idx="133">
                  <c:v>2080.84306895502</c:v>
                </c:pt>
                <c:pt idx="134">
                  <c:v>3250.4866558739359</c:v>
                </c:pt>
                <c:pt idx="135">
                  <c:v>577.15695997211083</c:v>
                </c:pt>
                <c:pt idx="136">
                  <c:v>-716.08856963821711</c:v>
                </c:pt>
                <c:pt idx="137">
                  <c:v>-1912.3366528040469</c:v>
                </c:pt>
                <c:pt idx="138">
                  <c:v>-3178.335359338349</c:v>
                </c:pt>
                <c:pt idx="139">
                  <c:v>-3049.4476191957028</c:v>
                </c:pt>
                <c:pt idx="140">
                  <c:v>-1262.9531258426521</c:v>
                </c:pt>
                <c:pt idx="141">
                  <c:v>883.50772732777796</c:v>
                </c:pt>
                <c:pt idx="142">
                  <c:v>3327.1669146897789</c:v>
                </c:pt>
                <c:pt idx="145">
                  <c:v>2085.0461343147322</c:v>
                </c:pt>
                <c:pt idx="146">
                  <c:v>2098.4430197970901</c:v>
                </c:pt>
                <c:pt idx="147">
                  <c:v>-1.2148939766683089</c:v>
                </c:pt>
                <c:pt idx="148">
                  <c:v>173.0049246607758</c:v>
                </c:pt>
                <c:pt idx="149">
                  <c:v>-1590.018078576782</c:v>
                </c:pt>
                <c:pt idx="150">
                  <c:v>-2538.463110754401</c:v>
                </c:pt>
                <c:pt idx="151">
                  <c:v>-2875.315700743085</c:v>
                </c:pt>
                <c:pt idx="152">
                  <c:v>-2249.7223116842379</c:v>
                </c:pt>
                <c:pt idx="153">
                  <c:v>1133.0158146950159</c:v>
                </c:pt>
                <c:pt idx="154">
                  <c:v>3765.2242022676978</c:v>
                </c:pt>
                <c:pt idx="157">
                  <c:v>-2102.4230421124871</c:v>
                </c:pt>
                <c:pt idx="158">
                  <c:v>-2568.8799618320568</c:v>
                </c:pt>
                <c:pt idx="159">
                  <c:v>-2415.2460904932718</c:v>
                </c:pt>
                <c:pt idx="160">
                  <c:v>-170.0125821231745</c:v>
                </c:pt>
                <c:pt idx="161">
                  <c:v>2101.816135635494</c:v>
                </c:pt>
                <c:pt idx="162">
                  <c:v>2810.8703838860788</c:v>
                </c:pt>
                <c:pt idx="163">
                  <c:v>3612.350338480162</c:v>
                </c:pt>
                <c:pt idx="164">
                  <c:v>880.81545756309436</c:v>
                </c:pt>
                <c:pt idx="165">
                  <c:v>-1020.193655585186</c:v>
                </c:pt>
                <c:pt idx="166">
                  <c:v>-1129.096983419041</c:v>
                </c:pt>
                <c:pt idx="169">
                  <c:v>3274.2754804948249</c:v>
                </c:pt>
                <c:pt idx="170">
                  <c:v>2943.952375064413</c:v>
                </c:pt>
                <c:pt idx="171">
                  <c:v>1003.974180935012</c:v>
                </c:pt>
                <c:pt idx="172">
                  <c:v>-232.27361525127711</c:v>
                </c:pt>
                <c:pt idx="173">
                  <c:v>-2675.507826557402</c:v>
                </c:pt>
                <c:pt idx="174">
                  <c:v>-1644.809155966183</c:v>
                </c:pt>
                <c:pt idx="175">
                  <c:v>-2557.4880294332552</c:v>
                </c:pt>
                <c:pt idx="176">
                  <c:v>-1615.3264587689721</c:v>
                </c:pt>
                <c:pt idx="177">
                  <c:v>-838.74448476319208</c:v>
                </c:pt>
                <c:pt idx="178">
                  <c:v>2341.9475342458441</c:v>
                </c:pt>
                <c:pt idx="182">
                  <c:v>2461.3649441755811</c:v>
                </c:pt>
                <c:pt idx="183">
                  <c:v>2533.032015338546</c:v>
                </c:pt>
                <c:pt idx="184">
                  <c:v>-207.37633034440839</c:v>
                </c:pt>
                <c:pt idx="185">
                  <c:v>-1848.670924740258</c:v>
                </c:pt>
                <c:pt idx="186">
                  <c:v>-1831.9984944409159</c:v>
                </c:pt>
                <c:pt idx="187">
                  <c:v>-904.35814528929245</c:v>
                </c:pt>
                <c:pt idx="188">
                  <c:v>-1892.3172240704739</c:v>
                </c:pt>
                <c:pt idx="189">
                  <c:v>-1772.7194551263201</c:v>
                </c:pt>
                <c:pt idx="190">
                  <c:v>-461.4921025698867</c:v>
                </c:pt>
                <c:pt idx="191">
                  <c:v>3924.5357170675838</c:v>
                </c:pt>
                <c:pt idx="195">
                  <c:v>48.145374079901053</c:v>
                </c:pt>
                <c:pt idx="196">
                  <c:v>3690.4809015558071</c:v>
                </c:pt>
                <c:pt idx="197">
                  <c:v>1290.3291034669189</c:v>
                </c:pt>
                <c:pt idx="198">
                  <c:v>-159.32329690706069</c:v>
                </c:pt>
                <c:pt idx="199">
                  <c:v>-2539.849004826815</c:v>
                </c:pt>
                <c:pt idx="200">
                  <c:v>-2880.5113346106818</c:v>
                </c:pt>
                <c:pt idx="201">
                  <c:v>-2979.4115814140068</c:v>
                </c:pt>
                <c:pt idx="202">
                  <c:v>-1078.809910573932</c:v>
                </c:pt>
                <c:pt idx="203">
                  <c:v>2347.8568332010918</c:v>
                </c:pt>
                <c:pt idx="204">
                  <c:v>2261.092916028208</c:v>
                </c:pt>
                <c:pt idx="209">
                  <c:v>-2574.5564369631579</c:v>
                </c:pt>
                <c:pt idx="210">
                  <c:v>-2545.0694778451539</c:v>
                </c:pt>
                <c:pt idx="211">
                  <c:v>-1767.0321425438169</c:v>
                </c:pt>
                <c:pt idx="212">
                  <c:v>808.65143596095459</c:v>
                </c:pt>
                <c:pt idx="213">
                  <c:v>2169.1528844025479</c:v>
                </c:pt>
                <c:pt idx="214">
                  <c:v>3249.495756771078</c:v>
                </c:pt>
                <c:pt idx="215">
                  <c:v>2528.3162033227582</c:v>
                </c:pt>
                <c:pt idx="216">
                  <c:v>1404.535238558022</c:v>
                </c:pt>
                <c:pt idx="217">
                  <c:v>-798.44739665141083</c:v>
                </c:pt>
                <c:pt idx="218">
                  <c:v>-2475.0460650116711</c:v>
                </c:pt>
                <c:pt idx="221">
                  <c:v>2298.8292918767129</c:v>
                </c:pt>
                <c:pt idx="222">
                  <c:v>2530.9892304621831</c:v>
                </c:pt>
                <c:pt idx="223">
                  <c:v>1865.667828204643</c:v>
                </c:pt>
                <c:pt idx="224">
                  <c:v>-822.16670636465494</c:v>
                </c:pt>
                <c:pt idx="225">
                  <c:v>-2427.5499139420699</c:v>
                </c:pt>
                <c:pt idx="226">
                  <c:v>-2294.890435995304</c:v>
                </c:pt>
                <c:pt idx="227">
                  <c:v>-2241.414919776932</c:v>
                </c:pt>
                <c:pt idx="228">
                  <c:v>-1790.162667390842</c:v>
                </c:pt>
                <c:pt idx="229">
                  <c:v>813.03056333579354</c:v>
                </c:pt>
                <c:pt idx="230">
                  <c:v>2067.667729590341</c:v>
                </c:pt>
                <c:pt idx="233">
                  <c:v>1816.870706530611</c:v>
                </c:pt>
                <c:pt idx="234">
                  <c:v>3069.7750080961619</c:v>
                </c:pt>
                <c:pt idx="235">
                  <c:v>1015.4726010696691</c:v>
                </c:pt>
                <c:pt idx="236">
                  <c:v>-1090.3867824923241</c:v>
                </c:pt>
                <c:pt idx="237">
                  <c:v>-2111.842487528766</c:v>
                </c:pt>
                <c:pt idx="238">
                  <c:v>-1916.413014644696</c:v>
                </c:pt>
                <c:pt idx="239">
                  <c:v>-2173.8449282807128</c:v>
                </c:pt>
                <c:pt idx="240">
                  <c:v>-1536.1160839613719</c:v>
                </c:pt>
                <c:pt idx="241">
                  <c:v>855.58459550245402</c:v>
                </c:pt>
                <c:pt idx="242">
                  <c:v>2070.9003857088628</c:v>
                </c:pt>
                <c:pt idx="245">
                  <c:v>169.3987307925785</c:v>
                </c:pt>
                <c:pt idx="246">
                  <c:v>8626.8414392012364</c:v>
                </c:pt>
                <c:pt idx="247">
                  <c:v>-2291.1833243259648</c:v>
                </c:pt>
                <c:pt idx="248">
                  <c:v>-2776.060547679308</c:v>
                </c:pt>
                <c:pt idx="249">
                  <c:v>-2109.1090512365631</c:v>
                </c:pt>
                <c:pt idx="250">
                  <c:v>-3264.9063677970598</c:v>
                </c:pt>
                <c:pt idx="251">
                  <c:v>-2115.4820250996049</c:v>
                </c:pt>
                <c:pt idx="252">
                  <c:v>-1774.8001856565511</c:v>
                </c:pt>
                <c:pt idx="253">
                  <c:v>-3263.9782328956371</c:v>
                </c:pt>
                <c:pt idx="254">
                  <c:v>8799.2795646972718</c:v>
                </c:pt>
                <c:pt idx="258">
                  <c:v>2736.7033235395679</c:v>
                </c:pt>
                <c:pt idx="259">
                  <c:v>2171.7013408180151</c:v>
                </c:pt>
                <c:pt idx="260">
                  <c:v>1073.688285950077</c:v>
                </c:pt>
                <c:pt idx="261">
                  <c:v>-1080.561687897442</c:v>
                </c:pt>
                <c:pt idx="262">
                  <c:v>-1822.9749403663791</c:v>
                </c:pt>
                <c:pt idx="263">
                  <c:v>-1818.3734015408211</c:v>
                </c:pt>
                <c:pt idx="264">
                  <c:v>-2347.6437789810302</c:v>
                </c:pt>
                <c:pt idx="265">
                  <c:v>-1391.096640160971</c:v>
                </c:pt>
                <c:pt idx="266">
                  <c:v>683.90948158984713</c:v>
                </c:pt>
                <c:pt idx="267">
                  <c:v>1794.648017049193</c:v>
                </c:pt>
                <c:pt idx="272">
                  <c:v>2488.4948741603512</c:v>
                </c:pt>
                <c:pt idx="273">
                  <c:v>2475.1346518640521</c:v>
                </c:pt>
                <c:pt idx="274">
                  <c:v>-981.10089239469733</c:v>
                </c:pt>
                <c:pt idx="275">
                  <c:v>-922.88922857465627</c:v>
                </c:pt>
                <c:pt idx="276">
                  <c:v>-2132.7025284996671</c:v>
                </c:pt>
                <c:pt idx="277">
                  <c:v>-1960.414601160104</c:v>
                </c:pt>
                <c:pt idx="278">
                  <c:v>-1895.6402397295301</c:v>
                </c:pt>
                <c:pt idx="279">
                  <c:v>-300.61562691542679</c:v>
                </c:pt>
                <c:pt idx="280">
                  <c:v>1523.3401023283111</c:v>
                </c:pt>
                <c:pt idx="281">
                  <c:v>1706.393488921696</c:v>
                </c:pt>
                <c:pt idx="284">
                  <c:v>-1333.792615462793</c:v>
                </c:pt>
                <c:pt idx="285">
                  <c:v>-53.249243346518313</c:v>
                </c:pt>
                <c:pt idx="286">
                  <c:v>-2028.828219153115</c:v>
                </c:pt>
                <c:pt idx="287">
                  <c:v>-1599.7902627055589</c:v>
                </c:pt>
                <c:pt idx="288">
                  <c:v>1050.033745225247</c:v>
                </c:pt>
                <c:pt idx="289">
                  <c:v>806.34138720356816</c:v>
                </c:pt>
                <c:pt idx="290">
                  <c:v>2289.6385161506869</c:v>
                </c:pt>
                <c:pt idx="291">
                  <c:v>965.6674484854135</c:v>
                </c:pt>
                <c:pt idx="292">
                  <c:v>-1289.4100892274009</c:v>
                </c:pt>
                <c:pt idx="293">
                  <c:v>1193.389332831033</c:v>
                </c:pt>
                <c:pt idx="296">
                  <c:v>-2470.1292132681938</c:v>
                </c:pt>
                <c:pt idx="297">
                  <c:v>-1508.111979747561</c:v>
                </c:pt>
                <c:pt idx="298">
                  <c:v>-423.64814160767622</c:v>
                </c:pt>
                <c:pt idx="299">
                  <c:v>774.85532005060622</c:v>
                </c:pt>
                <c:pt idx="300">
                  <c:v>1652.105257071883</c:v>
                </c:pt>
                <c:pt idx="301">
                  <c:v>2849.0005602433098</c:v>
                </c:pt>
                <c:pt idx="302">
                  <c:v>1249.02754805475</c:v>
                </c:pt>
                <c:pt idx="303">
                  <c:v>179.96853871335719</c:v>
                </c:pt>
                <c:pt idx="304">
                  <c:v>-474.31349197380899</c:v>
                </c:pt>
                <c:pt idx="305">
                  <c:v>-1828.7543975366141</c:v>
                </c:pt>
                <c:pt idx="308">
                  <c:v>2653.8763518662881</c:v>
                </c:pt>
                <c:pt idx="309">
                  <c:v>1529.0410300412891</c:v>
                </c:pt>
                <c:pt idx="310">
                  <c:v>777.07854460045678</c:v>
                </c:pt>
                <c:pt idx="311">
                  <c:v>-373.22594059127601</c:v>
                </c:pt>
                <c:pt idx="312">
                  <c:v>-1340.703973109217</c:v>
                </c:pt>
                <c:pt idx="313">
                  <c:v>-2007.6374011925409</c:v>
                </c:pt>
                <c:pt idx="314">
                  <c:v>-1927.187123962377</c:v>
                </c:pt>
                <c:pt idx="315">
                  <c:v>-1200.077203029774</c:v>
                </c:pt>
                <c:pt idx="316">
                  <c:v>657.50277263430132</c:v>
                </c:pt>
                <c:pt idx="317">
                  <c:v>1231.332942742617</c:v>
                </c:pt>
                <c:pt idx="321">
                  <c:v>1791.2532785830981</c:v>
                </c:pt>
                <c:pt idx="322">
                  <c:v>1445.0942364602961</c:v>
                </c:pt>
                <c:pt idx="323">
                  <c:v>832.48866202880095</c:v>
                </c:pt>
                <c:pt idx="324">
                  <c:v>-562.39607798937811</c:v>
                </c:pt>
                <c:pt idx="325">
                  <c:v>-1310.9393202767069</c:v>
                </c:pt>
                <c:pt idx="326">
                  <c:v>-1730.943779991346</c:v>
                </c:pt>
                <c:pt idx="327">
                  <c:v>-1657.015785807286</c:v>
                </c:pt>
                <c:pt idx="328">
                  <c:v>-814.84182445237434</c:v>
                </c:pt>
                <c:pt idx="329">
                  <c:v>646.26072679938659</c:v>
                </c:pt>
                <c:pt idx="330">
                  <c:v>1361.0398846455651</c:v>
                </c:pt>
                <c:pt idx="333">
                  <c:v>2004.213691306443</c:v>
                </c:pt>
                <c:pt idx="334">
                  <c:v>1595.257728081735</c:v>
                </c:pt>
                <c:pt idx="335">
                  <c:v>711.00173355697996</c:v>
                </c:pt>
                <c:pt idx="336">
                  <c:v>-375.02964326378498</c:v>
                </c:pt>
                <c:pt idx="337">
                  <c:v>-1323.0040202887999</c:v>
                </c:pt>
                <c:pt idx="338">
                  <c:v>-1946.179080957015</c:v>
                </c:pt>
                <c:pt idx="339">
                  <c:v>-1590.3379280758311</c:v>
                </c:pt>
                <c:pt idx="340">
                  <c:v>-616.89793022685285</c:v>
                </c:pt>
                <c:pt idx="341">
                  <c:v>196.59191173510999</c:v>
                </c:pt>
                <c:pt idx="342">
                  <c:v>1344.3835381319291</c:v>
                </c:pt>
                <c:pt idx="346">
                  <c:v>-1043.983643776362</c:v>
                </c:pt>
                <c:pt idx="347">
                  <c:v>-1734.8402806852459</c:v>
                </c:pt>
                <c:pt idx="348">
                  <c:v>-438.9037402388048</c:v>
                </c:pt>
                <c:pt idx="349">
                  <c:v>287.75749087929699</c:v>
                </c:pt>
                <c:pt idx="350">
                  <c:v>1346.023130397813</c:v>
                </c:pt>
                <c:pt idx="351">
                  <c:v>1212.3246048996359</c:v>
                </c:pt>
                <c:pt idx="352">
                  <c:v>1978.7714034180251</c:v>
                </c:pt>
                <c:pt idx="353">
                  <c:v>1054.607526416248</c:v>
                </c:pt>
                <c:pt idx="354">
                  <c:v>-1235.2227302370129</c:v>
                </c:pt>
                <c:pt idx="355">
                  <c:v>-1426.5337610736619</c:v>
                </c:pt>
                <c:pt idx="358">
                  <c:v>1940.9699041700051</c:v>
                </c:pt>
                <c:pt idx="359">
                  <c:v>2184.0507875631479</c:v>
                </c:pt>
                <c:pt idx="360">
                  <c:v>817.9168994786844</c:v>
                </c:pt>
                <c:pt idx="361">
                  <c:v>-795.24301098547812</c:v>
                </c:pt>
                <c:pt idx="362">
                  <c:v>-1571.09792642302</c:v>
                </c:pt>
                <c:pt idx="363">
                  <c:v>-1473.907214149322</c:v>
                </c:pt>
                <c:pt idx="364">
                  <c:v>-1108.836175916729</c:v>
                </c:pt>
                <c:pt idx="365">
                  <c:v>-615.21804354630888</c:v>
                </c:pt>
                <c:pt idx="366">
                  <c:v>-127.51758454600341</c:v>
                </c:pt>
                <c:pt idx="367">
                  <c:v>748.88236435494866</c:v>
                </c:pt>
                <c:pt idx="370">
                  <c:v>1771.4114669164439</c:v>
                </c:pt>
                <c:pt idx="371">
                  <c:v>1256.0975939100269</c:v>
                </c:pt>
                <c:pt idx="372">
                  <c:v>697.94260948515489</c:v>
                </c:pt>
                <c:pt idx="373">
                  <c:v>-478.50351698997292</c:v>
                </c:pt>
                <c:pt idx="374">
                  <c:v>-852.93251548986325</c:v>
                </c:pt>
                <c:pt idx="375">
                  <c:v>-1678.01915254402</c:v>
                </c:pt>
                <c:pt idx="376">
                  <c:v>-1701.5362739183529</c:v>
                </c:pt>
                <c:pt idx="377">
                  <c:v>-877.79578794082659</c:v>
                </c:pt>
                <c:pt idx="378">
                  <c:v>377.56716368460712</c:v>
                </c:pt>
                <c:pt idx="379">
                  <c:v>1485.7684128863921</c:v>
                </c:pt>
                <c:pt idx="382">
                  <c:v>-1691.7870788680959</c:v>
                </c:pt>
                <c:pt idx="383">
                  <c:v>4397.590777174818</c:v>
                </c:pt>
                <c:pt idx="384">
                  <c:v>-3406.7077004049879</c:v>
                </c:pt>
                <c:pt idx="385">
                  <c:v>2722.5196986963169</c:v>
                </c:pt>
                <c:pt idx="386">
                  <c:v>-2910.933307090897</c:v>
                </c:pt>
                <c:pt idx="387">
                  <c:v>-3078.9102278662558</c:v>
                </c:pt>
                <c:pt idx="388">
                  <c:v>-3562.8607308807268</c:v>
                </c:pt>
                <c:pt idx="389">
                  <c:v>-2382.7544953331089</c:v>
                </c:pt>
                <c:pt idx="390">
                  <c:v>4269.5021146470544</c:v>
                </c:pt>
                <c:pt idx="391">
                  <c:v>5644.3409499267536</c:v>
                </c:pt>
                <c:pt idx="394">
                  <c:v>1615.550765407278</c:v>
                </c:pt>
                <c:pt idx="395">
                  <c:v>669.23519903520105</c:v>
                </c:pt>
                <c:pt idx="396">
                  <c:v>-142.95915847460259</c:v>
                </c:pt>
                <c:pt idx="397">
                  <c:v>-631.5866091900632</c:v>
                </c:pt>
                <c:pt idx="398">
                  <c:v>-1049.1700924648919</c:v>
                </c:pt>
                <c:pt idx="399">
                  <c:v>-1483.1640875368939</c:v>
                </c:pt>
                <c:pt idx="400">
                  <c:v>-968.11854186127005</c:v>
                </c:pt>
                <c:pt idx="401">
                  <c:v>-749.04375525388662</c:v>
                </c:pt>
                <c:pt idx="402">
                  <c:v>389.89319329357141</c:v>
                </c:pt>
                <c:pt idx="403">
                  <c:v>2349.363087045951</c:v>
                </c:pt>
                <c:pt idx="406">
                  <c:v>1837.350732237835</c:v>
                </c:pt>
                <c:pt idx="407">
                  <c:v>1634.264523563988</c:v>
                </c:pt>
                <c:pt idx="408">
                  <c:v>532.15471120904988</c:v>
                </c:pt>
                <c:pt idx="409">
                  <c:v>-946.02772649648159</c:v>
                </c:pt>
                <c:pt idx="410">
                  <c:v>-753.8774307681424</c:v>
                </c:pt>
                <c:pt idx="411">
                  <c:v>-1729.178797170171</c:v>
                </c:pt>
                <c:pt idx="412">
                  <c:v>-1341.321299621927</c:v>
                </c:pt>
                <c:pt idx="413">
                  <c:v>-25.69456501454972</c:v>
                </c:pt>
                <c:pt idx="414">
                  <c:v>102.15345067101811</c:v>
                </c:pt>
                <c:pt idx="415">
                  <c:v>690.17640138955983</c:v>
                </c:pt>
                <c:pt idx="418">
                  <c:v>-1545.0985428465749</c:v>
                </c:pt>
                <c:pt idx="419">
                  <c:v>-346.94100246961659</c:v>
                </c:pt>
                <c:pt idx="420">
                  <c:v>-408.04370641817729</c:v>
                </c:pt>
                <c:pt idx="421">
                  <c:v>-25.065025614756809</c:v>
                </c:pt>
                <c:pt idx="422">
                  <c:v>2054.6706897405838</c:v>
                </c:pt>
                <c:pt idx="423">
                  <c:v>-53.582802846668187</c:v>
                </c:pt>
                <c:pt idx="424">
                  <c:v>834.72790506237322</c:v>
                </c:pt>
                <c:pt idx="425">
                  <c:v>1841.306682865154</c:v>
                </c:pt>
                <c:pt idx="426">
                  <c:v>-910.76907947783548</c:v>
                </c:pt>
                <c:pt idx="427">
                  <c:v>-1441.2051179945411</c:v>
                </c:pt>
                <c:pt idx="430">
                  <c:v>-1168.196579744558</c:v>
                </c:pt>
                <c:pt idx="431">
                  <c:v>-1656.5535520651999</c:v>
                </c:pt>
                <c:pt idx="432">
                  <c:v>-27.34275870695096</c:v>
                </c:pt>
                <c:pt idx="433">
                  <c:v>1595.48862437088</c:v>
                </c:pt>
                <c:pt idx="434">
                  <c:v>1536.7637090344219</c:v>
                </c:pt>
                <c:pt idx="435">
                  <c:v>-529.185215089949</c:v>
                </c:pt>
                <c:pt idx="436">
                  <c:v>1675.1281990764251</c:v>
                </c:pt>
                <c:pt idx="437">
                  <c:v>450.08763074668718</c:v>
                </c:pt>
                <c:pt idx="438">
                  <c:v>-897.99246757390983</c:v>
                </c:pt>
                <c:pt idx="439">
                  <c:v>-978.19759004790683</c:v>
                </c:pt>
                <c:pt idx="443">
                  <c:v>-1512.635033327723</c:v>
                </c:pt>
                <c:pt idx="444">
                  <c:v>-1778.629657943208</c:v>
                </c:pt>
                <c:pt idx="445">
                  <c:v>-659.48036918604225</c:v>
                </c:pt>
                <c:pt idx="446">
                  <c:v>-411.11599550209911</c:v>
                </c:pt>
                <c:pt idx="447">
                  <c:v>661.52406438223727</c:v>
                </c:pt>
                <c:pt idx="448">
                  <c:v>-300.03033362842859</c:v>
                </c:pt>
                <c:pt idx="449">
                  <c:v>2976.7969010525071</c:v>
                </c:pt>
                <c:pt idx="450">
                  <c:v>393.70129230408281</c:v>
                </c:pt>
                <c:pt idx="451">
                  <c:v>-64.885623064141299</c:v>
                </c:pt>
                <c:pt idx="452">
                  <c:v>694.75475491260261</c:v>
                </c:pt>
                <c:pt idx="454">
                  <c:v>3606.6283800517272</c:v>
                </c:pt>
                <c:pt idx="455">
                  <c:v>-927.8430515965041</c:v>
                </c:pt>
                <c:pt idx="456">
                  <c:v>-66.537878112752594</c:v>
                </c:pt>
                <c:pt idx="457">
                  <c:v>-1140.0847848274</c:v>
                </c:pt>
                <c:pt idx="458">
                  <c:v>-1727.735593591545</c:v>
                </c:pt>
                <c:pt idx="459">
                  <c:v>-19.520493538272689</c:v>
                </c:pt>
                <c:pt idx="460">
                  <c:v>-1552.004155545957</c:v>
                </c:pt>
                <c:pt idx="461">
                  <c:v>423.52286665859458</c:v>
                </c:pt>
                <c:pt idx="462">
                  <c:v>1025.3609841302441</c:v>
                </c:pt>
                <c:pt idx="463">
                  <c:v>378.2137263718887</c:v>
                </c:pt>
                <c:pt idx="466">
                  <c:v>687.73251147229519</c:v>
                </c:pt>
                <c:pt idx="467">
                  <c:v>2350.2138109078778</c:v>
                </c:pt>
                <c:pt idx="468">
                  <c:v>-1575.975125466324</c:v>
                </c:pt>
                <c:pt idx="469">
                  <c:v>69.671088892071836</c:v>
                </c:pt>
                <c:pt idx="470">
                  <c:v>-1797.800429359281</c:v>
                </c:pt>
                <c:pt idx="471">
                  <c:v>953.24873835253629</c:v>
                </c:pt>
                <c:pt idx="472">
                  <c:v>-2341.1539815591218</c:v>
                </c:pt>
                <c:pt idx="473">
                  <c:v>-671.55543974978241</c:v>
                </c:pt>
                <c:pt idx="474">
                  <c:v>1141.4761313023339</c:v>
                </c:pt>
                <c:pt idx="475">
                  <c:v>1184.1426952080219</c:v>
                </c:pt>
                <c:pt idx="478">
                  <c:v>2412.7822237201758</c:v>
                </c:pt>
                <c:pt idx="479">
                  <c:v>1461.345497859679</c:v>
                </c:pt>
                <c:pt idx="480">
                  <c:v>-58.616749708293959</c:v>
                </c:pt>
                <c:pt idx="481">
                  <c:v>-1455.133948344321</c:v>
                </c:pt>
                <c:pt idx="482">
                  <c:v>-1891.089921522743</c:v>
                </c:pt>
                <c:pt idx="483">
                  <c:v>-431.23621268236252</c:v>
                </c:pt>
                <c:pt idx="484">
                  <c:v>-781.16327771387182</c:v>
                </c:pt>
                <c:pt idx="485">
                  <c:v>-309.71581033619788</c:v>
                </c:pt>
                <c:pt idx="486">
                  <c:v>760.00783519565698</c:v>
                </c:pt>
                <c:pt idx="487">
                  <c:v>292.82036353219871</c:v>
                </c:pt>
                <c:pt idx="491">
                  <c:v>-1579.234299774025</c:v>
                </c:pt>
                <c:pt idx="492">
                  <c:v>-632.67958515628993</c:v>
                </c:pt>
                <c:pt idx="493">
                  <c:v>-1217.9650547182209</c:v>
                </c:pt>
                <c:pt idx="494">
                  <c:v>-1367.359604833151</c:v>
                </c:pt>
                <c:pt idx="495">
                  <c:v>3147.7380494079312</c:v>
                </c:pt>
                <c:pt idx="496">
                  <c:v>775.28042240808293</c:v>
                </c:pt>
                <c:pt idx="497">
                  <c:v>-137.2176846107167</c:v>
                </c:pt>
                <c:pt idx="498">
                  <c:v>-710.11388009738744</c:v>
                </c:pt>
                <c:pt idx="499">
                  <c:v>2146.734911687417</c:v>
                </c:pt>
                <c:pt idx="500">
                  <c:v>-425.18327431376298</c:v>
                </c:pt>
                <c:pt idx="503">
                  <c:v>-1649.5011190987061</c:v>
                </c:pt>
                <c:pt idx="504">
                  <c:v>1994.310849459614</c:v>
                </c:pt>
                <c:pt idx="505">
                  <c:v>-1154.789719970749</c:v>
                </c:pt>
                <c:pt idx="506">
                  <c:v>93.759515865862511</c:v>
                </c:pt>
                <c:pt idx="507">
                  <c:v>489.90726480273253</c:v>
                </c:pt>
                <c:pt idx="508">
                  <c:v>-366.74092343446853</c:v>
                </c:pt>
                <c:pt idx="509">
                  <c:v>-1362.620052917775</c:v>
                </c:pt>
                <c:pt idx="510">
                  <c:v>2187.0106472088419</c:v>
                </c:pt>
                <c:pt idx="511">
                  <c:v>-1985.5600610438801</c:v>
                </c:pt>
                <c:pt idx="512">
                  <c:v>1754.223599128582</c:v>
                </c:pt>
                <c:pt idx="515">
                  <c:v>8585.8980811517085</c:v>
                </c:pt>
                <c:pt idx="516">
                  <c:v>4135.0632841858896</c:v>
                </c:pt>
                <c:pt idx="517">
                  <c:v>880.73890393491797</c:v>
                </c:pt>
                <c:pt idx="518">
                  <c:v>368.83282860324778</c:v>
                </c:pt>
                <c:pt idx="519">
                  <c:v>-6388.7794976095211</c:v>
                </c:pt>
                <c:pt idx="520">
                  <c:v>-4444.5744828440529</c:v>
                </c:pt>
                <c:pt idx="521">
                  <c:v>-6539.5801487705339</c:v>
                </c:pt>
                <c:pt idx="522">
                  <c:v>-3546.5965901115778</c:v>
                </c:pt>
                <c:pt idx="523">
                  <c:v>-2481.2453857999221</c:v>
                </c:pt>
                <c:pt idx="524">
                  <c:v>9430.2430072602983</c:v>
                </c:pt>
                <c:pt idx="527">
                  <c:v>3215.734032036416</c:v>
                </c:pt>
                <c:pt idx="528">
                  <c:v>-806.35517908778309</c:v>
                </c:pt>
                <c:pt idx="529">
                  <c:v>1470.0038630429599</c:v>
                </c:pt>
                <c:pt idx="530">
                  <c:v>-1836.2389901676811</c:v>
                </c:pt>
                <c:pt idx="531">
                  <c:v>686.12272096770266</c:v>
                </c:pt>
                <c:pt idx="532">
                  <c:v>-546.92353869814485</c:v>
                </c:pt>
                <c:pt idx="533">
                  <c:v>-447.75532424360608</c:v>
                </c:pt>
                <c:pt idx="534">
                  <c:v>-568.91611342511214</c:v>
                </c:pt>
                <c:pt idx="535">
                  <c:v>-674.11979202104749</c:v>
                </c:pt>
                <c:pt idx="536">
                  <c:v>-491.55167840360099</c:v>
                </c:pt>
                <c:pt idx="539">
                  <c:v>-538.80359627075484</c:v>
                </c:pt>
                <c:pt idx="540">
                  <c:v>-1568.7942024030331</c:v>
                </c:pt>
                <c:pt idx="541">
                  <c:v>397.29598548662409</c:v>
                </c:pt>
                <c:pt idx="542">
                  <c:v>-1205.954055930617</c:v>
                </c:pt>
                <c:pt idx="543">
                  <c:v>-892.33939208317258</c:v>
                </c:pt>
                <c:pt idx="544">
                  <c:v>-1158.459759582458</c:v>
                </c:pt>
                <c:pt idx="545">
                  <c:v>-295.2606405309528</c:v>
                </c:pt>
                <c:pt idx="546">
                  <c:v>4002.4261504822771</c:v>
                </c:pt>
                <c:pt idx="547">
                  <c:v>1560.3188078115079</c:v>
                </c:pt>
                <c:pt idx="548">
                  <c:v>-300.42929697958908</c:v>
                </c:pt>
                <c:pt idx="551">
                  <c:v>-1845.2916126576449</c:v>
                </c:pt>
                <c:pt idx="552">
                  <c:v>1378.0193488191601</c:v>
                </c:pt>
                <c:pt idx="553">
                  <c:v>-364.36446082712672</c:v>
                </c:pt>
                <c:pt idx="554">
                  <c:v>1030.414846755803</c:v>
                </c:pt>
                <c:pt idx="555">
                  <c:v>2872.6896384122092</c:v>
                </c:pt>
                <c:pt idx="556">
                  <c:v>273.84056479250921</c:v>
                </c:pt>
                <c:pt idx="557">
                  <c:v>1604.324833431441</c:v>
                </c:pt>
                <c:pt idx="558">
                  <c:v>-2408.0977603695578</c:v>
                </c:pt>
                <c:pt idx="559">
                  <c:v>-1516.723447998337</c:v>
                </c:pt>
                <c:pt idx="560">
                  <c:v>-1024.811950358682</c:v>
                </c:pt>
                <c:pt idx="563">
                  <c:v>758.45048350896866</c:v>
                </c:pt>
                <c:pt idx="564">
                  <c:v>-539.34859414169523</c:v>
                </c:pt>
                <c:pt idx="565">
                  <c:v>3672.1332044540559</c:v>
                </c:pt>
                <c:pt idx="566">
                  <c:v>1036.561333846767</c:v>
                </c:pt>
                <c:pt idx="567">
                  <c:v>588.50714180874513</c:v>
                </c:pt>
                <c:pt idx="568">
                  <c:v>-425.6383666757115</c:v>
                </c:pt>
                <c:pt idx="569">
                  <c:v>-933.34655413719054</c:v>
                </c:pt>
                <c:pt idx="570">
                  <c:v>-2345.8274989741949</c:v>
                </c:pt>
                <c:pt idx="571">
                  <c:v>146.3143704440746</c:v>
                </c:pt>
                <c:pt idx="572">
                  <c:v>-1957.8055201340751</c:v>
                </c:pt>
                <c:pt idx="575">
                  <c:v>-1999.1463897811821</c:v>
                </c:pt>
                <c:pt idx="576">
                  <c:v>2075.7223437512248</c:v>
                </c:pt>
                <c:pt idx="577">
                  <c:v>-2499.1200421395069</c:v>
                </c:pt>
                <c:pt idx="578">
                  <c:v>1989.4413165185881</c:v>
                </c:pt>
                <c:pt idx="579">
                  <c:v>554.63741441902619</c:v>
                </c:pt>
                <c:pt idx="580">
                  <c:v>3013.7660783996862</c:v>
                </c:pt>
                <c:pt idx="581">
                  <c:v>-1187.522218636203</c:v>
                </c:pt>
                <c:pt idx="582">
                  <c:v>-161.3272079970379</c:v>
                </c:pt>
                <c:pt idx="583">
                  <c:v>-1154.102349110153</c:v>
                </c:pt>
                <c:pt idx="584">
                  <c:v>-632.34894542484028</c:v>
                </c:pt>
                <c:pt idx="587">
                  <c:v>-1889.410947115859</c:v>
                </c:pt>
                <c:pt idx="588">
                  <c:v>-292.71752391082867</c:v>
                </c:pt>
                <c:pt idx="589">
                  <c:v>2773.616452704659</c:v>
                </c:pt>
                <c:pt idx="590">
                  <c:v>2931.959137152307</c:v>
                </c:pt>
                <c:pt idx="591">
                  <c:v>-2777.5707751708101</c:v>
                </c:pt>
                <c:pt idx="592">
                  <c:v>-912.64480921018082</c:v>
                </c:pt>
                <c:pt idx="593">
                  <c:v>-1343.352481119716</c:v>
                </c:pt>
                <c:pt idx="594">
                  <c:v>-1152.4164794781141</c:v>
                </c:pt>
                <c:pt idx="595">
                  <c:v>1486.740560443619</c:v>
                </c:pt>
                <c:pt idx="596">
                  <c:v>1175.796865705081</c:v>
                </c:pt>
                <c:pt idx="599">
                  <c:v>-3267.1617466909679</c:v>
                </c:pt>
                <c:pt idx="600">
                  <c:v>11818.69369405959</c:v>
                </c:pt>
                <c:pt idx="601">
                  <c:v>4588.4929349380373</c:v>
                </c:pt>
                <c:pt idx="602">
                  <c:v>-3891.430265947386</c:v>
                </c:pt>
                <c:pt idx="603">
                  <c:v>275.54146085479471</c:v>
                </c:pt>
                <c:pt idx="604">
                  <c:v>-7844.1663995685631</c:v>
                </c:pt>
                <c:pt idx="605">
                  <c:v>-2212.6927467049268</c:v>
                </c:pt>
                <c:pt idx="606">
                  <c:v>-855.48491064605241</c:v>
                </c:pt>
                <c:pt idx="607">
                  <c:v>956.55611201106171</c:v>
                </c:pt>
                <c:pt idx="608">
                  <c:v>431.65186769455107</c:v>
                </c:pt>
                <c:pt idx="611">
                  <c:v>7508.973147345182</c:v>
                </c:pt>
                <c:pt idx="612">
                  <c:v>6740.5779353423031</c:v>
                </c:pt>
                <c:pt idx="613">
                  <c:v>264.85488359704999</c:v>
                </c:pt>
                <c:pt idx="614">
                  <c:v>-2468.4593202477358</c:v>
                </c:pt>
                <c:pt idx="615">
                  <c:v>1923.3043688186301</c:v>
                </c:pt>
                <c:pt idx="616">
                  <c:v>-5260.6625912039153</c:v>
                </c:pt>
                <c:pt idx="617">
                  <c:v>321.57929933896008</c:v>
                </c:pt>
                <c:pt idx="618">
                  <c:v>-6362.3470067743647</c:v>
                </c:pt>
                <c:pt idx="619">
                  <c:v>-4483.664845143272</c:v>
                </c:pt>
                <c:pt idx="620">
                  <c:v>1815.8441289266659</c:v>
                </c:pt>
                <c:pt idx="623">
                  <c:v>1393.1086881866579</c:v>
                </c:pt>
                <c:pt idx="624">
                  <c:v>1782.9799257271541</c:v>
                </c:pt>
                <c:pt idx="625">
                  <c:v>-1051.503209549378</c:v>
                </c:pt>
                <c:pt idx="626">
                  <c:v>-2471.5041468627001</c:v>
                </c:pt>
                <c:pt idx="627">
                  <c:v>6324.8039980381391</c:v>
                </c:pt>
                <c:pt idx="628">
                  <c:v>4515.1703801636259</c:v>
                </c:pt>
                <c:pt idx="629">
                  <c:v>1182.761223532259</c:v>
                </c:pt>
                <c:pt idx="630">
                  <c:v>-4272.630863471747</c:v>
                </c:pt>
                <c:pt idx="631">
                  <c:v>-2779.9498271032949</c:v>
                </c:pt>
                <c:pt idx="632">
                  <c:v>-4623.2361686595268</c:v>
                </c:pt>
                <c:pt idx="635">
                  <c:v>2971.5627560763551</c:v>
                </c:pt>
                <c:pt idx="636">
                  <c:v>-1691.96515331761</c:v>
                </c:pt>
                <c:pt idx="637">
                  <c:v>-331.39598116679258</c:v>
                </c:pt>
                <c:pt idx="638">
                  <c:v>-2876.5821194750779</c:v>
                </c:pt>
                <c:pt idx="639">
                  <c:v>4327.8768823240016</c:v>
                </c:pt>
                <c:pt idx="640">
                  <c:v>-240.29062938261029</c:v>
                </c:pt>
                <c:pt idx="641">
                  <c:v>7558.0056619332863</c:v>
                </c:pt>
                <c:pt idx="642">
                  <c:v>-4420.7564627892089</c:v>
                </c:pt>
                <c:pt idx="643">
                  <c:v>-7218.0823874722719</c:v>
                </c:pt>
                <c:pt idx="644">
                  <c:v>1921.6274332704691</c:v>
                </c:pt>
                <c:pt idx="647">
                  <c:v>71.309188508152658</c:v>
                </c:pt>
                <c:pt idx="648">
                  <c:v>-514.16885646695619</c:v>
                </c:pt>
                <c:pt idx="649">
                  <c:v>2984.9238441480279</c:v>
                </c:pt>
                <c:pt idx="650">
                  <c:v>74.638472528437831</c:v>
                </c:pt>
                <c:pt idx="651">
                  <c:v>-2844.8297827699098</c:v>
                </c:pt>
                <c:pt idx="652">
                  <c:v>1114.580059019469</c:v>
                </c:pt>
                <c:pt idx="653">
                  <c:v>-279.48766190792281</c:v>
                </c:pt>
                <c:pt idx="654">
                  <c:v>-1759.402132538585</c:v>
                </c:pt>
                <c:pt idx="655">
                  <c:v>-5183.9936388732276</c:v>
                </c:pt>
                <c:pt idx="656">
                  <c:v>6336.4305083530471</c:v>
                </c:pt>
                <c:pt idx="659">
                  <c:v>-996.83526326111974</c:v>
                </c:pt>
                <c:pt idx="660">
                  <c:v>4802.6054496012566</c:v>
                </c:pt>
                <c:pt idx="661">
                  <c:v>-1731.7307658455311</c:v>
                </c:pt>
                <c:pt idx="662">
                  <c:v>2064.843046724226</c:v>
                </c:pt>
                <c:pt idx="663">
                  <c:v>1805.1585486458821</c:v>
                </c:pt>
                <c:pt idx="664">
                  <c:v>-6623.8737593741826</c:v>
                </c:pt>
                <c:pt idx="665">
                  <c:v>-4664.2869278349726</c:v>
                </c:pt>
                <c:pt idx="666">
                  <c:v>1647.4925383134721</c:v>
                </c:pt>
                <c:pt idx="667">
                  <c:v>7652.5328609711933</c:v>
                </c:pt>
                <c:pt idx="668">
                  <c:v>-3955.9057279396479</c:v>
                </c:pt>
                <c:pt idx="671">
                  <c:v>-1511.561584499221</c:v>
                </c:pt>
                <c:pt idx="672">
                  <c:v>-580.91071691464606</c:v>
                </c:pt>
                <c:pt idx="673">
                  <c:v>709.00093190100745</c:v>
                </c:pt>
                <c:pt idx="674">
                  <c:v>-2922.8716018804412</c:v>
                </c:pt>
                <c:pt idx="675">
                  <c:v>3986.6207155259121</c:v>
                </c:pt>
                <c:pt idx="676">
                  <c:v>-414.39005047359927</c:v>
                </c:pt>
                <c:pt idx="677">
                  <c:v>-1391.955322315873</c:v>
                </c:pt>
                <c:pt idx="678">
                  <c:v>-5432.7441798456148</c:v>
                </c:pt>
                <c:pt idx="679">
                  <c:v>5700.7721955090192</c:v>
                </c:pt>
                <c:pt idx="680">
                  <c:v>1858.03961299348</c:v>
                </c:pt>
                <c:pt idx="683">
                  <c:v>-1885.223793830686</c:v>
                </c:pt>
                <c:pt idx="684">
                  <c:v>10203.474769970569</c:v>
                </c:pt>
                <c:pt idx="685">
                  <c:v>5936.6712172220887</c:v>
                </c:pt>
                <c:pt idx="686">
                  <c:v>2687.2042239910079</c:v>
                </c:pt>
                <c:pt idx="687">
                  <c:v>-4455.8724886430073</c:v>
                </c:pt>
                <c:pt idx="688">
                  <c:v>-2110.1280832952662</c:v>
                </c:pt>
                <c:pt idx="689">
                  <c:v>-9119.8297313022595</c:v>
                </c:pt>
                <c:pt idx="690">
                  <c:v>1277.8815108089809</c:v>
                </c:pt>
                <c:pt idx="691">
                  <c:v>-4314.8200089931815</c:v>
                </c:pt>
                <c:pt idx="692">
                  <c:v>1780.6423840712951</c:v>
                </c:pt>
                <c:pt idx="695">
                  <c:v>9194.3260160326518</c:v>
                </c:pt>
                <c:pt idx="696">
                  <c:v>1498.254914328058</c:v>
                </c:pt>
                <c:pt idx="697">
                  <c:v>2726.9342649511991</c:v>
                </c:pt>
                <c:pt idx="698">
                  <c:v>702.0215829828486</c:v>
                </c:pt>
                <c:pt idx="699">
                  <c:v>-4116.6137938109168</c:v>
                </c:pt>
                <c:pt idx="700">
                  <c:v>-1259.220658987377</c:v>
                </c:pt>
                <c:pt idx="701">
                  <c:v>-5859.9390408036716</c:v>
                </c:pt>
                <c:pt idx="702">
                  <c:v>-5617.1993869949129</c:v>
                </c:pt>
                <c:pt idx="703">
                  <c:v>283.66537654810378</c:v>
                </c:pt>
                <c:pt idx="704">
                  <c:v>2447.7707257536431</c:v>
                </c:pt>
                <c:pt idx="707">
                  <c:v>4571.8313220999207</c:v>
                </c:pt>
                <c:pt idx="708">
                  <c:v>3324.450041306096</c:v>
                </c:pt>
                <c:pt idx="709">
                  <c:v>-259.36987874093342</c:v>
                </c:pt>
                <c:pt idx="710">
                  <c:v>-1362.5726735405051</c:v>
                </c:pt>
                <c:pt idx="711">
                  <c:v>-2176.7466840798552</c:v>
                </c:pt>
                <c:pt idx="712">
                  <c:v>-2713.632385904476</c:v>
                </c:pt>
                <c:pt idx="713">
                  <c:v>-2742.1161766159389</c:v>
                </c:pt>
                <c:pt idx="714">
                  <c:v>-2194.610402409166</c:v>
                </c:pt>
                <c:pt idx="715">
                  <c:v>621.83553112557036</c:v>
                </c:pt>
                <c:pt idx="716">
                  <c:v>2930.931306758403</c:v>
                </c:pt>
                <c:pt idx="719">
                  <c:v>-4019.0158638763019</c:v>
                </c:pt>
                <c:pt idx="720">
                  <c:v>-3853.944226160474</c:v>
                </c:pt>
                <c:pt idx="721">
                  <c:v>4279.5213932058114</c:v>
                </c:pt>
                <c:pt idx="722">
                  <c:v>2735.9617903422291</c:v>
                </c:pt>
                <c:pt idx="723">
                  <c:v>-936.53133260715811</c:v>
                </c:pt>
                <c:pt idx="724">
                  <c:v>2004.4542743781481</c:v>
                </c:pt>
                <c:pt idx="725">
                  <c:v>-570.49128897611774</c:v>
                </c:pt>
                <c:pt idx="726">
                  <c:v>1090.528084965244</c:v>
                </c:pt>
                <c:pt idx="727">
                  <c:v>301.12722155305931</c:v>
                </c:pt>
                <c:pt idx="728">
                  <c:v>-1031.610052824401</c:v>
                </c:pt>
                <c:pt idx="731">
                  <c:v>4897.1256445572008</c:v>
                </c:pt>
                <c:pt idx="732">
                  <c:v>2713.1370384180182</c:v>
                </c:pt>
                <c:pt idx="733">
                  <c:v>155.32969892866981</c:v>
                </c:pt>
                <c:pt idx="734">
                  <c:v>-2704.1679918936138</c:v>
                </c:pt>
                <c:pt idx="735">
                  <c:v>-2319.1912359146932</c:v>
                </c:pt>
                <c:pt idx="736">
                  <c:v>-1736.7430266737749</c:v>
                </c:pt>
                <c:pt idx="737">
                  <c:v>-1849.427257864894</c:v>
                </c:pt>
                <c:pt idx="738">
                  <c:v>-2255.4350779904939</c:v>
                </c:pt>
                <c:pt idx="739">
                  <c:v>296.23477023403268</c:v>
                </c:pt>
                <c:pt idx="740">
                  <c:v>2803.1374381998689</c:v>
                </c:pt>
                <c:pt idx="743">
                  <c:v>322.3832571024904</c:v>
                </c:pt>
                <c:pt idx="744">
                  <c:v>1948.3053144495609</c:v>
                </c:pt>
                <c:pt idx="745">
                  <c:v>1217.126594708913</c:v>
                </c:pt>
                <c:pt idx="746">
                  <c:v>-1275.898501084949</c:v>
                </c:pt>
                <c:pt idx="747">
                  <c:v>-2871.2859165882269</c:v>
                </c:pt>
                <c:pt idx="748">
                  <c:v>-2432.1500438078701</c:v>
                </c:pt>
                <c:pt idx="749">
                  <c:v>-3355.4693115250502</c:v>
                </c:pt>
                <c:pt idx="750">
                  <c:v>363.70624346032503</c:v>
                </c:pt>
                <c:pt idx="751">
                  <c:v>2345.453974333238</c:v>
                </c:pt>
                <c:pt idx="752">
                  <c:v>3737.828388951536</c:v>
                </c:pt>
                <c:pt idx="755">
                  <c:v>5138.7142143602177</c:v>
                </c:pt>
                <c:pt idx="756">
                  <c:v>2469.883486285441</c:v>
                </c:pt>
                <c:pt idx="757">
                  <c:v>548.91505187178143</c:v>
                </c:pt>
                <c:pt idx="758">
                  <c:v>-2067.3117542484511</c:v>
                </c:pt>
                <c:pt idx="759">
                  <c:v>-2391.0357809141392</c:v>
                </c:pt>
                <c:pt idx="760">
                  <c:v>-1979.1982682238679</c:v>
                </c:pt>
                <c:pt idx="761">
                  <c:v>-1957.736936047552</c:v>
                </c:pt>
                <c:pt idx="762">
                  <c:v>-1668.9135058756731</c:v>
                </c:pt>
                <c:pt idx="763">
                  <c:v>-18.188679634934221</c:v>
                </c:pt>
                <c:pt idx="764">
                  <c:v>1924.872172427715</c:v>
                </c:pt>
                <c:pt idx="767">
                  <c:v>-2779.272544709605</c:v>
                </c:pt>
                <c:pt idx="768">
                  <c:v>-3028.4116227341278</c:v>
                </c:pt>
                <c:pt idx="769">
                  <c:v>-1930.399095477125</c:v>
                </c:pt>
                <c:pt idx="770">
                  <c:v>1681.236754426968</c:v>
                </c:pt>
                <c:pt idx="771">
                  <c:v>2389.8582769127238</c:v>
                </c:pt>
                <c:pt idx="772">
                  <c:v>3304.498771197224</c:v>
                </c:pt>
                <c:pt idx="773">
                  <c:v>3088.0480858235542</c:v>
                </c:pt>
                <c:pt idx="774">
                  <c:v>-168.67823477270969</c:v>
                </c:pt>
                <c:pt idx="775">
                  <c:v>-1037.365315887645</c:v>
                </c:pt>
                <c:pt idx="776">
                  <c:v>-1519.5150747791349</c:v>
                </c:pt>
                <c:pt idx="779">
                  <c:v>3952.589770665053</c:v>
                </c:pt>
                <c:pt idx="780">
                  <c:v>3514.2285386643939</c:v>
                </c:pt>
                <c:pt idx="781">
                  <c:v>-125.1396168580045</c:v>
                </c:pt>
                <c:pt idx="782">
                  <c:v>-291.94061668251561</c:v>
                </c:pt>
                <c:pt idx="783">
                  <c:v>-3026.5562619828088</c:v>
                </c:pt>
                <c:pt idx="784">
                  <c:v>-3101.509971036337</c:v>
                </c:pt>
                <c:pt idx="785">
                  <c:v>-3206.8597141631708</c:v>
                </c:pt>
                <c:pt idx="786">
                  <c:v>-657.07051172652677</c:v>
                </c:pt>
                <c:pt idx="787">
                  <c:v>1278.180162855881</c:v>
                </c:pt>
                <c:pt idx="788">
                  <c:v>1664.078220263212</c:v>
                </c:pt>
                <c:pt idx="791">
                  <c:v>7266.2983874598403</c:v>
                </c:pt>
                <c:pt idx="792">
                  <c:v>1703.298430786012</c:v>
                </c:pt>
                <c:pt idx="793">
                  <c:v>-813.57358661084777</c:v>
                </c:pt>
                <c:pt idx="794">
                  <c:v>-2639.90797846542</c:v>
                </c:pt>
                <c:pt idx="795">
                  <c:v>-859.0529625732479</c:v>
                </c:pt>
                <c:pt idx="796">
                  <c:v>-247.58014140448429</c:v>
                </c:pt>
                <c:pt idx="797">
                  <c:v>-518.32593386805979</c:v>
                </c:pt>
                <c:pt idx="798">
                  <c:v>-644.42015920929794</c:v>
                </c:pt>
                <c:pt idx="799">
                  <c:v>-2160.274303751733</c:v>
                </c:pt>
                <c:pt idx="800">
                  <c:v>-1086.461752362643</c:v>
                </c:pt>
                <c:pt idx="803">
                  <c:v>10495.77364198652</c:v>
                </c:pt>
                <c:pt idx="804">
                  <c:v>2269.5962430438158</c:v>
                </c:pt>
                <c:pt idx="805">
                  <c:v>-2655.7382663533572</c:v>
                </c:pt>
                <c:pt idx="806">
                  <c:v>-3990.786998807806</c:v>
                </c:pt>
                <c:pt idx="807">
                  <c:v>-2800.4868994163489</c:v>
                </c:pt>
                <c:pt idx="808">
                  <c:v>-3237.2384648131779</c:v>
                </c:pt>
                <c:pt idx="809">
                  <c:v>-2007.12512052075</c:v>
                </c:pt>
                <c:pt idx="810">
                  <c:v>-1332.823134397825</c:v>
                </c:pt>
                <c:pt idx="811">
                  <c:v>-1045.8129186011711</c:v>
                </c:pt>
                <c:pt idx="812">
                  <c:v>4304.6419178796341</c:v>
                </c:pt>
                <c:pt idx="814">
                  <c:v>6118.5692821575558</c:v>
                </c:pt>
                <c:pt idx="815">
                  <c:v>1699.1000731621809</c:v>
                </c:pt>
                <c:pt idx="816">
                  <c:v>-1386.2100959493</c:v>
                </c:pt>
                <c:pt idx="817">
                  <c:v>-2129.1607105455232</c:v>
                </c:pt>
                <c:pt idx="818">
                  <c:v>-1738.4050689197261</c:v>
                </c:pt>
                <c:pt idx="819">
                  <c:v>-1997.824410257271</c:v>
                </c:pt>
                <c:pt idx="820">
                  <c:v>-2001.6890725880251</c:v>
                </c:pt>
                <c:pt idx="821">
                  <c:v>-1596.6367511131</c:v>
                </c:pt>
                <c:pt idx="822">
                  <c:v>684.50830996374737</c:v>
                </c:pt>
                <c:pt idx="823">
                  <c:v>2347.7484440897879</c:v>
                </c:pt>
                <c:pt idx="826">
                  <c:v>5862.1687295013444</c:v>
                </c:pt>
                <c:pt idx="827">
                  <c:v>2628.9815847461859</c:v>
                </c:pt>
                <c:pt idx="828">
                  <c:v>160.63288990798071</c:v>
                </c:pt>
                <c:pt idx="829">
                  <c:v>-1249.0257670516089</c:v>
                </c:pt>
                <c:pt idx="830">
                  <c:v>-2645.429989419561</c:v>
                </c:pt>
                <c:pt idx="831">
                  <c:v>-2790.1905586749481</c:v>
                </c:pt>
                <c:pt idx="832">
                  <c:v>-2561.3062340555362</c:v>
                </c:pt>
                <c:pt idx="833">
                  <c:v>-1720.9425596428839</c:v>
                </c:pt>
                <c:pt idx="834">
                  <c:v>-493.175352425423</c:v>
                </c:pt>
                <c:pt idx="835">
                  <c:v>2808.287257114795</c:v>
                </c:pt>
                <c:pt idx="838">
                  <c:v>691.63355824057021</c:v>
                </c:pt>
                <c:pt idx="839">
                  <c:v>2774.4096357850531</c:v>
                </c:pt>
                <c:pt idx="840">
                  <c:v>-351.27678227277391</c:v>
                </c:pt>
                <c:pt idx="841">
                  <c:v>639.6078324961203</c:v>
                </c:pt>
                <c:pt idx="842">
                  <c:v>-764.24058404030632</c:v>
                </c:pt>
                <c:pt idx="843">
                  <c:v>-1274.405811602408</c:v>
                </c:pt>
                <c:pt idx="844">
                  <c:v>-2734.8368668629669</c:v>
                </c:pt>
                <c:pt idx="845">
                  <c:v>-4404.91398734432</c:v>
                </c:pt>
                <c:pt idx="846">
                  <c:v>169.7005582202556</c:v>
                </c:pt>
                <c:pt idx="847">
                  <c:v>5254.3224473808968</c:v>
                </c:pt>
                <c:pt idx="850">
                  <c:v>2066.7952095336268</c:v>
                </c:pt>
                <c:pt idx="851">
                  <c:v>1151.1407106036329</c:v>
                </c:pt>
                <c:pt idx="852">
                  <c:v>941.00178329616881</c:v>
                </c:pt>
                <c:pt idx="853">
                  <c:v>-530.10809597267109</c:v>
                </c:pt>
                <c:pt idx="854">
                  <c:v>-1700.369008267591</c:v>
                </c:pt>
                <c:pt idx="855">
                  <c:v>-1590.0806702849859</c:v>
                </c:pt>
                <c:pt idx="856">
                  <c:v>-1869.016071731156</c:v>
                </c:pt>
                <c:pt idx="857">
                  <c:v>-638.7604115567076</c:v>
                </c:pt>
                <c:pt idx="858">
                  <c:v>665.51689221912204</c:v>
                </c:pt>
                <c:pt idx="859">
                  <c:v>1503.8796621605329</c:v>
                </c:pt>
                <c:pt idx="862">
                  <c:v>1067.386557193405</c:v>
                </c:pt>
                <c:pt idx="863">
                  <c:v>-1733.117147996008</c:v>
                </c:pt>
                <c:pt idx="864">
                  <c:v>-2749.5835364568602</c:v>
                </c:pt>
                <c:pt idx="865">
                  <c:v>49.089333531113013</c:v>
                </c:pt>
                <c:pt idx="866">
                  <c:v>5005.4331330092018</c:v>
                </c:pt>
                <c:pt idx="867">
                  <c:v>-2989.4884611945699</c:v>
                </c:pt>
                <c:pt idx="868">
                  <c:v>1926.4353078474001</c:v>
                </c:pt>
                <c:pt idx="869">
                  <c:v>823.68807167364548</c:v>
                </c:pt>
                <c:pt idx="870">
                  <c:v>658.46656916293341</c:v>
                </c:pt>
                <c:pt idx="871">
                  <c:v>-2058.3098267704172</c:v>
                </c:pt>
                <c:pt idx="874">
                  <c:v>186.2360593391756</c:v>
                </c:pt>
                <c:pt idx="875">
                  <c:v>-774.27096292876331</c:v>
                </c:pt>
                <c:pt idx="876">
                  <c:v>3000.963923247672</c:v>
                </c:pt>
                <c:pt idx="877">
                  <c:v>-104.9688230917759</c:v>
                </c:pt>
                <c:pt idx="878">
                  <c:v>-1766.8610711487679</c:v>
                </c:pt>
                <c:pt idx="879">
                  <c:v>-2170.045193317746</c:v>
                </c:pt>
                <c:pt idx="880">
                  <c:v>-2731.0904313700512</c:v>
                </c:pt>
                <c:pt idx="881">
                  <c:v>-964.64807979581235</c:v>
                </c:pt>
                <c:pt idx="882">
                  <c:v>125.46155221170829</c:v>
                </c:pt>
                <c:pt idx="883">
                  <c:v>5199.2230268543981</c:v>
                </c:pt>
                <c:pt idx="886">
                  <c:v>-2010.420774658606</c:v>
                </c:pt>
                <c:pt idx="887">
                  <c:v>-3634.787736555154</c:v>
                </c:pt>
                <c:pt idx="888">
                  <c:v>-448.76094898577639</c:v>
                </c:pt>
                <c:pt idx="889">
                  <c:v>73.201381222447296</c:v>
                </c:pt>
                <c:pt idx="890">
                  <c:v>4825.8362524559616</c:v>
                </c:pt>
                <c:pt idx="891">
                  <c:v>1107.7166812433661</c:v>
                </c:pt>
                <c:pt idx="892">
                  <c:v>867.4266532927445</c:v>
                </c:pt>
                <c:pt idx="893">
                  <c:v>2374.971527670516</c:v>
                </c:pt>
                <c:pt idx="894">
                  <c:v>180.2155172889035</c:v>
                </c:pt>
                <c:pt idx="895">
                  <c:v>-3335.3985529747451</c:v>
                </c:pt>
                <c:pt idx="898">
                  <c:v>4747.5144340562729</c:v>
                </c:pt>
                <c:pt idx="899">
                  <c:v>2719.521423588651</c:v>
                </c:pt>
                <c:pt idx="900">
                  <c:v>1925.1491539235681</c:v>
                </c:pt>
                <c:pt idx="901">
                  <c:v>-2212.551380654169</c:v>
                </c:pt>
                <c:pt idx="902">
                  <c:v>-2853.043668870198</c:v>
                </c:pt>
                <c:pt idx="903">
                  <c:v>-2839.6084531606962</c:v>
                </c:pt>
                <c:pt idx="904">
                  <c:v>-3100.267982597883</c:v>
                </c:pt>
                <c:pt idx="905">
                  <c:v>-2278.0652843700891</c:v>
                </c:pt>
                <c:pt idx="906">
                  <c:v>856.04334794961528</c:v>
                </c:pt>
                <c:pt idx="907">
                  <c:v>3035.308410135201</c:v>
                </c:pt>
                <c:pt idx="910">
                  <c:v>3767.8395169079831</c:v>
                </c:pt>
                <c:pt idx="911">
                  <c:v>3110.1316749337461</c:v>
                </c:pt>
                <c:pt idx="912">
                  <c:v>805.14515585918116</c:v>
                </c:pt>
                <c:pt idx="913">
                  <c:v>-850.02205618188839</c:v>
                </c:pt>
                <c:pt idx="914">
                  <c:v>-2668.6628900836731</c:v>
                </c:pt>
                <c:pt idx="915">
                  <c:v>-2466.1933899918399</c:v>
                </c:pt>
                <c:pt idx="916">
                  <c:v>-3173.827530429417</c:v>
                </c:pt>
                <c:pt idx="917">
                  <c:v>-1903.639872768965</c:v>
                </c:pt>
                <c:pt idx="918">
                  <c:v>587.56244517115533</c:v>
                </c:pt>
                <c:pt idx="919">
                  <c:v>2791.6669465840641</c:v>
                </c:pt>
                <c:pt idx="923">
                  <c:v>1803.422895122211</c:v>
                </c:pt>
                <c:pt idx="924">
                  <c:v>4084.9110329695268</c:v>
                </c:pt>
                <c:pt idx="925">
                  <c:v>-1484.34185406916</c:v>
                </c:pt>
                <c:pt idx="926">
                  <c:v>1279.526379130142</c:v>
                </c:pt>
                <c:pt idx="927">
                  <c:v>-2800.266273337817</c:v>
                </c:pt>
                <c:pt idx="928">
                  <c:v>-1724.8359241485191</c:v>
                </c:pt>
                <c:pt idx="929">
                  <c:v>-566.42600137764725</c:v>
                </c:pt>
                <c:pt idx="930">
                  <c:v>169.79450923245281</c:v>
                </c:pt>
                <c:pt idx="931">
                  <c:v>129.2874815564472</c:v>
                </c:pt>
                <c:pt idx="932">
                  <c:v>-891.07224507751971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89-4534-8D23-E37AF4371E12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PC3</c:v>
                </c:pt>
              </c:strCache>
            </c:strRef>
          </c:tx>
          <c:spPr>
            <a:ln w="9525" cap="flat" cmpd="sng" algn="ctr">
              <a:solidFill>
                <a:schemeClr val="accent3">
                  <a:alpha val="70000"/>
                </a:schemeClr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Sheet1!$B$2:$B$934</c:f>
              <c:numCache>
                <c:formatCode>General</c:formatCode>
                <c:ptCount val="9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7">
                  <c:v>1</c:v>
                </c:pt>
                <c:pt idx="38">
                  <c:v>2</c:v>
                </c:pt>
                <c:pt idx="39">
                  <c:v>3</c:v>
                </c:pt>
                <c:pt idx="40">
                  <c:v>4</c:v>
                </c:pt>
                <c:pt idx="41">
                  <c:v>5</c:v>
                </c:pt>
                <c:pt idx="42">
                  <c:v>6</c:v>
                </c:pt>
                <c:pt idx="43">
                  <c:v>7</c:v>
                </c:pt>
                <c:pt idx="44">
                  <c:v>8</c:v>
                </c:pt>
                <c:pt idx="45">
                  <c:v>9</c:v>
                </c:pt>
                <c:pt idx="46">
                  <c:v>10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4</c:v>
                </c:pt>
                <c:pt idx="65">
                  <c:v>5</c:v>
                </c:pt>
                <c:pt idx="66">
                  <c:v>6</c:v>
                </c:pt>
                <c:pt idx="67">
                  <c:v>7</c:v>
                </c:pt>
                <c:pt idx="68">
                  <c:v>8</c:v>
                </c:pt>
                <c:pt idx="69">
                  <c:v>9</c:v>
                </c:pt>
                <c:pt idx="70">
                  <c:v>10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5">
                  <c:v>1</c:v>
                </c:pt>
                <c:pt idx="86">
                  <c:v>2</c:v>
                </c:pt>
                <c:pt idx="87">
                  <c:v>3</c:v>
                </c:pt>
                <c:pt idx="88">
                  <c:v>4</c:v>
                </c:pt>
                <c:pt idx="89">
                  <c:v>5</c:v>
                </c:pt>
                <c:pt idx="90">
                  <c:v>6</c:v>
                </c:pt>
                <c:pt idx="91">
                  <c:v>7</c:v>
                </c:pt>
                <c:pt idx="92">
                  <c:v>8</c:v>
                </c:pt>
                <c:pt idx="93">
                  <c:v>9</c:v>
                </c:pt>
                <c:pt idx="94">
                  <c:v>10</c:v>
                </c:pt>
                <c:pt idx="97">
                  <c:v>1</c:v>
                </c:pt>
                <c:pt idx="98">
                  <c:v>2</c:v>
                </c:pt>
                <c:pt idx="99">
                  <c:v>3</c:v>
                </c:pt>
                <c:pt idx="100">
                  <c:v>4</c:v>
                </c:pt>
                <c:pt idx="101">
                  <c:v>5</c:v>
                </c:pt>
                <c:pt idx="102">
                  <c:v>6</c:v>
                </c:pt>
                <c:pt idx="103">
                  <c:v>7</c:v>
                </c:pt>
                <c:pt idx="104">
                  <c:v>8</c:v>
                </c:pt>
                <c:pt idx="105">
                  <c:v>9</c:v>
                </c:pt>
                <c:pt idx="106">
                  <c:v>10</c:v>
                </c:pt>
                <c:pt idx="109">
                  <c:v>1</c:v>
                </c:pt>
                <c:pt idx="110">
                  <c:v>2</c:v>
                </c:pt>
                <c:pt idx="111">
                  <c:v>3</c:v>
                </c:pt>
                <c:pt idx="112">
                  <c:v>4</c:v>
                </c:pt>
                <c:pt idx="113">
                  <c:v>5</c:v>
                </c:pt>
                <c:pt idx="114">
                  <c:v>6</c:v>
                </c:pt>
                <c:pt idx="115">
                  <c:v>7</c:v>
                </c:pt>
                <c:pt idx="116">
                  <c:v>8</c:v>
                </c:pt>
                <c:pt idx="117">
                  <c:v>9</c:v>
                </c:pt>
                <c:pt idx="118">
                  <c:v>10</c:v>
                </c:pt>
                <c:pt idx="121">
                  <c:v>1</c:v>
                </c:pt>
                <c:pt idx="122">
                  <c:v>2</c:v>
                </c:pt>
                <c:pt idx="123">
                  <c:v>3</c:v>
                </c:pt>
                <c:pt idx="124">
                  <c:v>4</c:v>
                </c:pt>
                <c:pt idx="125">
                  <c:v>5</c:v>
                </c:pt>
                <c:pt idx="126">
                  <c:v>6</c:v>
                </c:pt>
                <c:pt idx="127">
                  <c:v>7</c:v>
                </c:pt>
                <c:pt idx="128">
                  <c:v>8</c:v>
                </c:pt>
                <c:pt idx="129">
                  <c:v>9</c:v>
                </c:pt>
                <c:pt idx="130">
                  <c:v>10</c:v>
                </c:pt>
                <c:pt idx="133">
                  <c:v>1</c:v>
                </c:pt>
                <c:pt idx="134">
                  <c:v>2</c:v>
                </c:pt>
                <c:pt idx="135">
                  <c:v>3</c:v>
                </c:pt>
                <c:pt idx="136">
                  <c:v>4</c:v>
                </c:pt>
                <c:pt idx="137">
                  <c:v>5</c:v>
                </c:pt>
                <c:pt idx="138">
                  <c:v>6</c:v>
                </c:pt>
                <c:pt idx="139">
                  <c:v>7</c:v>
                </c:pt>
                <c:pt idx="140">
                  <c:v>8</c:v>
                </c:pt>
                <c:pt idx="141">
                  <c:v>9</c:v>
                </c:pt>
                <c:pt idx="142">
                  <c:v>10</c:v>
                </c:pt>
                <c:pt idx="145">
                  <c:v>1</c:v>
                </c:pt>
                <c:pt idx="146">
                  <c:v>2</c:v>
                </c:pt>
                <c:pt idx="147">
                  <c:v>3</c:v>
                </c:pt>
                <c:pt idx="148">
                  <c:v>4</c:v>
                </c:pt>
                <c:pt idx="149">
                  <c:v>5</c:v>
                </c:pt>
                <c:pt idx="150">
                  <c:v>6</c:v>
                </c:pt>
                <c:pt idx="151">
                  <c:v>7</c:v>
                </c:pt>
                <c:pt idx="152">
                  <c:v>8</c:v>
                </c:pt>
                <c:pt idx="153">
                  <c:v>9</c:v>
                </c:pt>
                <c:pt idx="154">
                  <c:v>10</c:v>
                </c:pt>
                <c:pt idx="157">
                  <c:v>1</c:v>
                </c:pt>
                <c:pt idx="158">
                  <c:v>2</c:v>
                </c:pt>
                <c:pt idx="159">
                  <c:v>3</c:v>
                </c:pt>
                <c:pt idx="160">
                  <c:v>4</c:v>
                </c:pt>
                <c:pt idx="161">
                  <c:v>5</c:v>
                </c:pt>
                <c:pt idx="162">
                  <c:v>6</c:v>
                </c:pt>
                <c:pt idx="163">
                  <c:v>7</c:v>
                </c:pt>
                <c:pt idx="164">
                  <c:v>8</c:v>
                </c:pt>
                <c:pt idx="165">
                  <c:v>9</c:v>
                </c:pt>
                <c:pt idx="166">
                  <c:v>10</c:v>
                </c:pt>
                <c:pt idx="169">
                  <c:v>1</c:v>
                </c:pt>
                <c:pt idx="170">
                  <c:v>2</c:v>
                </c:pt>
                <c:pt idx="171">
                  <c:v>3</c:v>
                </c:pt>
                <c:pt idx="172">
                  <c:v>4</c:v>
                </c:pt>
                <c:pt idx="173">
                  <c:v>5</c:v>
                </c:pt>
                <c:pt idx="174">
                  <c:v>6</c:v>
                </c:pt>
                <c:pt idx="175">
                  <c:v>7</c:v>
                </c:pt>
                <c:pt idx="176">
                  <c:v>8</c:v>
                </c:pt>
                <c:pt idx="177">
                  <c:v>9</c:v>
                </c:pt>
                <c:pt idx="178">
                  <c:v>10</c:v>
                </c:pt>
                <c:pt idx="182">
                  <c:v>1</c:v>
                </c:pt>
                <c:pt idx="183">
                  <c:v>2</c:v>
                </c:pt>
                <c:pt idx="184">
                  <c:v>3</c:v>
                </c:pt>
                <c:pt idx="185">
                  <c:v>4</c:v>
                </c:pt>
                <c:pt idx="186">
                  <c:v>5</c:v>
                </c:pt>
                <c:pt idx="187">
                  <c:v>6</c:v>
                </c:pt>
                <c:pt idx="188">
                  <c:v>7</c:v>
                </c:pt>
                <c:pt idx="189">
                  <c:v>8</c:v>
                </c:pt>
                <c:pt idx="190">
                  <c:v>9</c:v>
                </c:pt>
                <c:pt idx="191">
                  <c:v>10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4</c:v>
                </c:pt>
                <c:pt idx="199">
                  <c:v>5</c:v>
                </c:pt>
                <c:pt idx="200">
                  <c:v>6</c:v>
                </c:pt>
                <c:pt idx="201">
                  <c:v>7</c:v>
                </c:pt>
                <c:pt idx="202">
                  <c:v>8</c:v>
                </c:pt>
                <c:pt idx="203">
                  <c:v>9</c:v>
                </c:pt>
                <c:pt idx="204">
                  <c:v>10</c:v>
                </c:pt>
                <c:pt idx="209">
                  <c:v>1</c:v>
                </c:pt>
                <c:pt idx="210">
                  <c:v>2</c:v>
                </c:pt>
                <c:pt idx="211">
                  <c:v>3</c:v>
                </c:pt>
                <c:pt idx="212">
                  <c:v>4</c:v>
                </c:pt>
                <c:pt idx="213">
                  <c:v>5</c:v>
                </c:pt>
                <c:pt idx="214">
                  <c:v>6</c:v>
                </c:pt>
                <c:pt idx="215">
                  <c:v>7</c:v>
                </c:pt>
                <c:pt idx="216">
                  <c:v>8</c:v>
                </c:pt>
                <c:pt idx="217">
                  <c:v>9</c:v>
                </c:pt>
                <c:pt idx="218">
                  <c:v>10</c:v>
                </c:pt>
                <c:pt idx="221">
                  <c:v>1</c:v>
                </c:pt>
                <c:pt idx="222">
                  <c:v>2</c:v>
                </c:pt>
                <c:pt idx="223">
                  <c:v>3</c:v>
                </c:pt>
                <c:pt idx="224">
                  <c:v>4</c:v>
                </c:pt>
                <c:pt idx="225">
                  <c:v>5</c:v>
                </c:pt>
                <c:pt idx="226">
                  <c:v>6</c:v>
                </c:pt>
                <c:pt idx="227">
                  <c:v>7</c:v>
                </c:pt>
                <c:pt idx="228">
                  <c:v>8</c:v>
                </c:pt>
                <c:pt idx="229">
                  <c:v>9</c:v>
                </c:pt>
                <c:pt idx="230">
                  <c:v>10</c:v>
                </c:pt>
                <c:pt idx="233">
                  <c:v>1</c:v>
                </c:pt>
                <c:pt idx="234">
                  <c:v>2</c:v>
                </c:pt>
                <c:pt idx="235">
                  <c:v>3</c:v>
                </c:pt>
                <c:pt idx="236">
                  <c:v>4</c:v>
                </c:pt>
                <c:pt idx="237">
                  <c:v>5</c:v>
                </c:pt>
                <c:pt idx="238">
                  <c:v>6</c:v>
                </c:pt>
                <c:pt idx="239">
                  <c:v>7</c:v>
                </c:pt>
                <c:pt idx="240">
                  <c:v>8</c:v>
                </c:pt>
                <c:pt idx="241">
                  <c:v>9</c:v>
                </c:pt>
                <c:pt idx="242">
                  <c:v>10</c:v>
                </c:pt>
                <c:pt idx="245">
                  <c:v>1</c:v>
                </c:pt>
                <c:pt idx="246">
                  <c:v>2</c:v>
                </c:pt>
                <c:pt idx="247">
                  <c:v>3</c:v>
                </c:pt>
                <c:pt idx="248">
                  <c:v>4</c:v>
                </c:pt>
                <c:pt idx="249">
                  <c:v>5</c:v>
                </c:pt>
                <c:pt idx="250">
                  <c:v>6</c:v>
                </c:pt>
                <c:pt idx="251">
                  <c:v>7</c:v>
                </c:pt>
                <c:pt idx="252">
                  <c:v>8</c:v>
                </c:pt>
                <c:pt idx="253">
                  <c:v>9</c:v>
                </c:pt>
                <c:pt idx="254">
                  <c:v>10</c:v>
                </c:pt>
                <c:pt idx="258">
                  <c:v>1</c:v>
                </c:pt>
                <c:pt idx="259">
                  <c:v>2</c:v>
                </c:pt>
                <c:pt idx="260">
                  <c:v>3</c:v>
                </c:pt>
                <c:pt idx="261">
                  <c:v>4</c:v>
                </c:pt>
                <c:pt idx="262">
                  <c:v>5</c:v>
                </c:pt>
                <c:pt idx="263">
                  <c:v>6</c:v>
                </c:pt>
                <c:pt idx="264">
                  <c:v>7</c:v>
                </c:pt>
                <c:pt idx="265">
                  <c:v>8</c:v>
                </c:pt>
                <c:pt idx="266">
                  <c:v>9</c:v>
                </c:pt>
                <c:pt idx="267">
                  <c:v>10</c:v>
                </c:pt>
                <c:pt idx="272">
                  <c:v>1</c:v>
                </c:pt>
                <c:pt idx="273">
                  <c:v>2</c:v>
                </c:pt>
                <c:pt idx="274">
                  <c:v>3</c:v>
                </c:pt>
                <c:pt idx="275">
                  <c:v>4</c:v>
                </c:pt>
                <c:pt idx="276">
                  <c:v>5</c:v>
                </c:pt>
                <c:pt idx="277">
                  <c:v>6</c:v>
                </c:pt>
                <c:pt idx="278">
                  <c:v>7</c:v>
                </c:pt>
                <c:pt idx="279">
                  <c:v>8</c:v>
                </c:pt>
                <c:pt idx="280">
                  <c:v>9</c:v>
                </c:pt>
                <c:pt idx="281">
                  <c:v>10</c:v>
                </c:pt>
                <c:pt idx="284">
                  <c:v>1</c:v>
                </c:pt>
                <c:pt idx="285">
                  <c:v>2</c:v>
                </c:pt>
                <c:pt idx="286">
                  <c:v>3</c:v>
                </c:pt>
                <c:pt idx="287">
                  <c:v>4</c:v>
                </c:pt>
                <c:pt idx="288">
                  <c:v>5</c:v>
                </c:pt>
                <c:pt idx="289">
                  <c:v>6</c:v>
                </c:pt>
                <c:pt idx="290">
                  <c:v>7</c:v>
                </c:pt>
                <c:pt idx="291">
                  <c:v>8</c:v>
                </c:pt>
                <c:pt idx="292">
                  <c:v>9</c:v>
                </c:pt>
                <c:pt idx="293">
                  <c:v>10</c:v>
                </c:pt>
                <c:pt idx="296">
                  <c:v>1</c:v>
                </c:pt>
                <c:pt idx="297">
                  <c:v>2</c:v>
                </c:pt>
                <c:pt idx="298">
                  <c:v>3</c:v>
                </c:pt>
                <c:pt idx="299">
                  <c:v>4</c:v>
                </c:pt>
                <c:pt idx="300">
                  <c:v>5</c:v>
                </c:pt>
                <c:pt idx="301">
                  <c:v>6</c:v>
                </c:pt>
                <c:pt idx="302">
                  <c:v>7</c:v>
                </c:pt>
                <c:pt idx="303">
                  <c:v>8</c:v>
                </c:pt>
                <c:pt idx="304">
                  <c:v>9</c:v>
                </c:pt>
                <c:pt idx="305">
                  <c:v>10</c:v>
                </c:pt>
                <c:pt idx="308">
                  <c:v>1</c:v>
                </c:pt>
                <c:pt idx="309">
                  <c:v>2</c:v>
                </c:pt>
                <c:pt idx="310">
                  <c:v>3</c:v>
                </c:pt>
                <c:pt idx="311">
                  <c:v>4</c:v>
                </c:pt>
                <c:pt idx="312">
                  <c:v>5</c:v>
                </c:pt>
                <c:pt idx="313">
                  <c:v>6</c:v>
                </c:pt>
                <c:pt idx="314">
                  <c:v>7</c:v>
                </c:pt>
                <c:pt idx="315">
                  <c:v>8</c:v>
                </c:pt>
                <c:pt idx="316">
                  <c:v>9</c:v>
                </c:pt>
                <c:pt idx="317">
                  <c:v>10</c:v>
                </c:pt>
                <c:pt idx="321">
                  <c:v>1</c:v>
                </c:pt>
                <c:pt idx="322">
                  <c:v>2</c:v>
                </c:pt>
                <c:pt idx="323">
                  <c:v>3</c:v>
                </c:pt>
                <c:pt idx="324">
                  <c:v>4</c:v>
                </c:pt>
                <c:pt idx="325">
                  <c:v>5</c:v>
                </c:pt>
                <c:pt idx="326">
                  <c:v>6</c:v>
                </c:pt>
                <c:pt idx="327">
                  <c:v>7</c:v>
                </c:pt>
                <c:pt idx="328">
                  <c:v>8</c:v>
                </c:pt>
                <c:pt idx="329">
                  <c:v>9</c:v>
                </c:pt>
                <c:pt idx="330">
                  <c:v>10</c:v>
                </c:pt>
                <c:pt idx="333">
                  <c:v>1</c:v>
                </c:pt>
                <c:pt idx="334">
                  <c:v>2</c:v>
                </c:pt>
                <c:pt idx="335">
                  <c:v>3</c:v>
                </c:pt>
                <c:pt idx="336">
                  <c:v>4</c:v>
                </c:pt>
                <c:pt idx="337">
                  <c:v>5</c:v>
                </c:pt>
                <c:pt idx="338">
                  <c:v>6</c:v>
                </c:pt>
                <c:pt idx="339">
                  <c:v>7</c:v>
                </c:pt>
                <c:pt idx="340">
                  <c:v>8</c:v>
                </c:pt>
                <c:pt idx="341">
                  <c:v>9</c:v>
                </c:pt>
                <c:pt idx="342">
                  <c:v>10</c:v>
                </c:pt>
                <c:pt idx="346">
                  <c:v>1</c:v>
                </c:pt>
                <c:pt idx="347">
                  <c:v>2</c:v>
                </c:pt>
                <c:pt idx="348">
                  <c:v>3</c:v>
                </c:pt>
                <c:pt idx="349">
                  <c:v>4</c:v>
                </c:pt>
                <c:pt idx="350">
                  <c:v>5</c:v>
                </c:pt>
                <c:pt idx="351">
                  <c:v>6</c:v>
                </c:pt>
                <c:pt idx="352">
                  <c:v>7</c:v>
                </c:pt>
                <c:pt idx="353">
                  <c:v>8</c:v>
                </c:pt>
                <c:pt idx="354">
                  <c:v>9</c:v>
                </c:pt>
                <c:pt idx="355">
                  <c:v>10</c:v>
                </c:pt>
                <c:pt idx="358">
                  <c:v>1</c:v>
                </c:pt>
                <c:pt idx="359">
                  <c:v>2</c:v>
                </c:pt>
                <c:pt idx="360">
                  <c:v>3</c:v>
                </c:pt>
                <c:pt idx="361">
                  <c:v>4</c:v>
                </c:pt>
                <c:pt idx="362">
                  <c:v>5</c:v>
                </c:pt>
                <c:pt idx="363">
                  <c:v>6</c:v>
                </c:pt>
                <c:pt idx="364">
                  <c:v>7</c:v>
                </c:pt>
                <c:pt idx="365">
                  <c:v>8</c:v>
                </c:pt>
                <c:pt idx="366">
                  <c:v>9</c:v>
                </c:pt>
                <c:pt idx="367">
                  <c:v>10</c:v>
                </c:pt>
                <c:pt idx="370">
                  <c:v>1</c:v>
                </c:pt>
                <c:pt idx="371">
                  <c:v>2</c:v>
                </c:pt>
                <c:pt idx="372">
                  <c:v>3</c:v>
                </c:pt>
                <c:pt idx="373">
                  <c:v>4</c:v>
                </c:pt>
                <c:pt idx="374">
                  <c:v>5</c:v>
                </c:pt>
                <c:pt idx="375">
                  <c:v>6</c:v>
                </c:pt>
                <c:pt idx="376">
                  <c:v>7</c:v>
                </c:pt>
                <c:pt idx="377">
                  <c:v>8</c:v>
                </c:pt>
                <c:pt idx="378">
                  <c:v>9</c:v>
                </c:pt>
                <c:pt idx="379">
                  <c:v>10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5</c:v>
                </c:pt>
                <c:pt idx="387">
                  <c:v>6</c:v>
                </c:pt>
                <c:pt idx="388">
                  <c:v>7</c:v>
                </c:pt>
                <c:pt idx="389">
                  <c:v>8</c:v>
                </c:pt>
                <c:pt idx="390">
                  <c:v>9</c:v>
                </c:pt>
                <c:pt idx="391">
                  <c:v>10</c:v>
                </c:pt>
                <c:pt idx="394">
                  <c:v>1</c:v>
                </c:pt>
                <c:pt idx="395">
                  <c:v>2</c:v>
                </c:pt>
                <c:pt idx="396">
                  <c:v>3</c:v>
                </c:pt>
                <c:pt idx="397">
                  <c:v>4</c:v>
                </c:pt>
                <c:pt idx="398">
                  <c:v>5</c:v>
                </c:pt>
                <c:pt idx="399">
                  <c:v>6</c:v>
                </c:pt>
                <c:pt idx="400">
                  <c:v>7</c:v>
                </c:pt>
                <c:pt idx="401">
                  <c:v>8</c:v>
                </c:pt>
                <c:pt idx="402">
                  <c:v>9</c:v>
                </c:pt>
                <c:pt idx="403">
                  <c:v>10</c:v>
                </c:pt>
                <c:pt idx="406">
                  <c:v>1</c:v>
                </c:pt>
                <c:pt idx="407">
                  <c:v>2</c:v>
                </c:pt>
                <c:pt idx="408">
                  <c:v>3</c:v>
                </c:pt>
                <c:pt idx="409">
                  <c:v>4</c:v>
                </c:pt>
                <c:pt idx="410">
                  <c:v>5</c:v>
                </c:pt>
                <c:pt idx="411">
                  <c:v>6</c:v>
                </c:pt>
                <c:pt idx="412">
                  <c:v>7</c:v>
                </c:pt>
                <c:pt idx="413">
                  <c:v>8</c:v>
                </c:pt>
                <c:pt idx="414">
                  <c:v>9</c:v>
                </c:pt>
                <c:pt idx="415">
                  <c:v>10</c:v>
                </c:pt>
                <c:pt idx="418">
                  <c:v>1</c:v>
                </c:pt>
                <c:pt idx="419">
                  <c:v>2</c:v>
                </c:pt>
                <c:pt idx="420">
                  <c:v>3</c:v>
                </c:pt>
                <c:pt idx="421">
                  <c:v>4</c:v>
                </c:pt>
                <c:pt idx="422">
                  <c:v>5</c:v>
                </c:pt>
                <c:pt idx="423">
                  <c:v>6</c:v>
                </c:pt>
                <c:pt idx="424">
                  <c:v>7</c:v>
                </c:pt>
                <c:pt idx="425">
                  <c:v>8</c:v>
                </c:pt>
                <c:pt idx="426">
                  <c:v>9</c:v>
                </c:pt>
                <c:pt idx="427">
                  <c:v>10</c:v>
                </c:pt>
                <c:pt idx="430">
                  <c:v>1</c:v>
                </c:pt>
                <c:pt idx="431">
                  <c:v>2</c:v>
                </c:pt>
                <c:pt idx="432">
                  <c:v>3</c:v>
                </c:pt>
                <c:pt idx="433">
                  <c:v>4</c:v>
                </c:pt>
                <c:pt idx="434">
                  <c:v>5</c:v>
                </c:pt>
                <c:pt idx="435">
                  <c:v>6</c:v>
                </c:pt>
                <c:pt idx="436">
                  <c:v>7</c:v>
                </c:pt>
                <c:pt idx="437">
                  <c:v>8</c:v>
                </c:pt>
                <c:pt idx="438">
                  <c:v>9</c:v>
                </c:pt>
                <c:pt idx="439">
                  <c:v>10</c:v>
                </c:pt>
                <c:pt idx="443">
                  <c:v>1</c:v>
                </c:pt>
                <c:pt idx="444">
                  <c:v>2</c:v>
                </c:pt>
                <c:pt idx="445">
                  <c:v>3</c:v>
                </c:pt>
                <c:pt idx="446">
                  <c:v>4</c:v>
                </c:pt>
                <c:pt idx="447">
                  <c:v>5</c:v>
                </c:pt>
                <c:pt idx="448">
                  <c:v>6</c:v>
                </c:pt>
                <c:pt idx="449">
                  <c:v>7</c:v>
                </c:pt>
                <c:pt idx="450">
                  <c:v>8</c:v>
                </c:pt>
                <c:pt idx="451">
                  <c:v>9</c:v>
                </c:pt>
                <c:pt idx="452">
                  <c:v>10</c:v>
                </c:pt>
                <c:pt idx="454">
                  <c:v>1</c:v>
                </c:pt>
                <c:pt idx="455">
                  <c:v>2</c:v>
                </c:pt>
                <c:pt idx="456">
                  <c:v>3</c:v>
                </c:pt>
                <c:pt idx="457">
                  <c:v>4</c:v>
                </c:pt>
                <c:pt idx="458">
                  <c:v>5</c:v>
                </c:pt>
                <c:pt idx="459">
                  <c:v>6</c:v>
                </c:pt>
                <c:pt idx="460">
                  <c:v>7</c:v>
                </c:pt>
                <c:pt idx="461">
                  <c:v>8</c:v>
                </c:pt>
                <c:pt idx="462">
                  <c:v>9</c:v>
                </c:pt>
                <c:pt idx="463">
                  <c:v>10</c:v>
                </c:pt>
                <c:pt idx="466">
                  <c:v>1</c:v>
                </c:pt>
                <c:pt idx="467">
                  <c:v>2</c:v>
                </c:pt>
                <c:pt idx="468">
                  <c:v>3</c:v>
                </c:pt>
                <c:pt idx="469">
                  <c:v>4</c:v>
                </c:pt>
                <c:pt idx="470">
                  <c:v>5</c:v>
                </c:pt>
                <c:pt idx="471">
                  <c:v>6</c:v>
                </c:pt>
                <c:pt idx="472">
                  <c:v>7</c:v>
                </c:pt>
                <c:pt idx="473">
                  <c:v>8</c:v>
                </c:pt>
                <c:pt idx="474">
                  <c:v>9</c:v>
                </c:pt>
                <c:pt idx="475">
                  <c:v>10</c:v>
                </c:pt>
                <c:pt idx="478">
                  <c:v>1</c:v>
                </c:pt>
                <c:pt idx="479">
                  <c:v>2</c:v>
                </c:pt>
                <c:pt idx="480">
                  <c:v>3</c:v>
                </c:pt>
                <c:pt idx="481">
                  <c:v>4</c:v>
                </c:pt>
                <c:pt idx="482">
                  <c:v>5</c:v>
                </c:pt>
                <c:pt idx="483">
                  <c:v>6</c:v>
                </c:pt>
                <c:pt idx="484">
                  <c:v>7</c:v>
                </c:pt>
                <c:pt idx="485">
                  <c:v>8</c:v>
                </c:pt>
                <c:pt idx="486">
                  <c:v>9</c:v>
                </c:pt>
                <c:pt idx="487">
                  <c:v>10</c:v>
                </c:pt>
                <c:pt idx="491">
                  <c:v>1</c:v>
                </c:pt>
                <c:pt idx="492">
                  <c:v>2</c:v>
                </c:pt>
                <c:pt idx="493">
                  <c:v>3</c:v>
                </c:pt>
                <c:pt idx="494">
                  <c:v>4</c:v>
                </c:pt>
                <c:pt idx="495">
                  <c:v>5</c:v>
                </c:pt>
                <c:pt idx="496">
                  <c:v>6</c:v>
                </c:pt>
                <c:pt idx="497">
                  <c:v>7</c:v>
                </c:pt>
                <c:pt idx="498">
                  <c:v>8</c:v>
                </c:pt>
                <c:pt idx="499">
                  <c:v>9</c:v>
                </c:pt>
                <c:pt idx="500">
                  <c:v>10</c:v>
                </c:pt>
                <c:pt idx="503">
                  <c:v>1</c:v>
                </c:pt>
                <c:pt idx="504">
                  <c:v>2</c:v>
                </c:pt>
                <c:pt idx="505">
                  <c:v>3</c:v>
                </c:pt>
                <c:pt idx="506">
                  <c:v>4</c:v>
                </c:pt>
                <c:pt idx="507">
                  <c:v>5</c:v>
                </c:pt>
                <c:pt idx="508">
                  <c:v>6</c:v>
                </c:pt>
                <c:pt idx="509">
                  <c:v>7</c:v>
                </c:pt>
                <c:pt idx="510">
                  <c:v>8</c:v>
                </c:pt>
                <c:pt idx="511">
                  <c:v>9</c:v>
                </c:pt>
                <c:pt idx="512">
                  <c:v>10</c:v>
                </c:pt>
                <c:pt idx="515">
                  <c:v>1</c:v>
                </c:pt>
                <c:pt idx="516">
                  <c:v>2</c:v>
                </c:pt>
                <c:pt idx="517">
                  <c:v>3</c:v>
                </c:pt>
                <c:pt idx="518">
                  <c:v>4</c:v>
                </c:pt>
                <c:pt idx="519">
                  <c:v>5</c:v>
                </c:pt>
                <c:pt idx="520">
                  <c:v>6</c:v>
                </c:pt>
                <c:pt idx="521">
                  <c:v>7</c:v>
                </c:pt>
                <c:pt idx="522">
                  <c:v>8</c:v>
                </c:pt>
                <c:pt idx="523">
                  <c:v>9</c:v>
                </c:pt>
                <c:pt idx="524">
                  <c:v>10</c:v>
                </c:pt>
                <c:pt idx="527">
                  <c:v>1</c:v>
                </c:pt>
                <c:pt idx="528">
                  <c:v>2</c:v>
                </c:pt>
                <c:pt idx="529">
                  <c:v>3</c:v>
                </c:pt>
                <c:pt idx="530">
                  <c:v>4</c:v>
                </c:pt>
                <c:pt idx="531">
                  <c:v>5</c:v>
                </c:pt>
                <c:pt idx="532">
                  <c:v>6</c:v>
                </c:pt>
                <c:pt idx="533">
                  <c:v>7</c:v>
                </c:pt>
                <c:pt idx="534">
                  <c:v>8</c:v>
                </c:pt>
                <c:pt idx="535">
                  <c:v>9</c:v>
                </c:pt>
                <c:pt idx="536">
                  <c:v>10</c:v>
                </c:pt>
                <c:pt idx="539">
                  <c:v>1</c:v>
                </c:pt>
                <c:pt idx="540">
                  <c:v>2</c:v>
                </c:pt>
                <c:pt idx="541">
                  <c:v>3</c:v>
                </c:pt>
                <c:pt idx="542">
                  <c:v>4</c:v>
                </c:pt>
                <c:pt idx="543">
                  <c:v>5</c:v>
                </c:pt>
                <c:pt idx="544">
                  <c:v>6</c:v>
                </c:pt>
                <c:pt idx="545">
                  <c:v>7</c:v>
                </c:pt>
                <c:pt idx="546">
                  <c:v>8</c:v>
                </c:pt>
                <c:pt idx="547">
                  <c:v>9</c:v>
                </c:pt>
                <c:pt idx="548">
                  <c:v>10</c:v>
                </c:pt>
                <c:pt idx="551">
                  <c:v>1</c:v>
                </c:pt>
                <c:pt idx="552">
                  <c:v>2</c:v>
                </c:pt>
                <c:pt idx="553">
                  <c:v>3</c:v>
                </c:pt>
                <c:pt idx="554">
                  <c:v>4</c:v>
                </c:pt>
                <c:pt idx="555">
                  <c:v>5</c:v>
                </c:pt>
                <c:pt idx="556">
                  <c:v>6</c:v>
                </c:pt>
                <c:pt idx="557">
                  <c:v>7</c:v>
                </c:pt>
                <c:pt idx="558">
                  <c:v>8</c:v>
                </c:pt>
                <c:pt idx="559">
                  <c:v>9</c:v>
                </c:pt>
                <c:pt idx="560">
                  <c:v>10</c:v>
                </c:pt>
                <c:pt idx="563">
                  <c:v>1</c:v>
                </c:pt>
                <c:pt idx="564">
                  <c:v>2</c:v>
                </c:pt>
                <c:pt idx="565">
                  <c:v>3</c:v>
                </c:pt>
                <c:pt idx="566">
                  <c:v>4</c:v>
                </c:pt>
                <c:pt idx="567">
                  <c:v>5</c:v>
                </c:pt>
                <c:pt idx="568">
                  <c:v>6</c:v>
                </c:pt>
                <c:pt idx="569">
                  <c:v>7</c:v>
                </c:pt>
                <c:pt idx="570">
                  <c:v>8</c:v>
                </c:pt>
                <c:pt idx="571">
                  <c:v>9</c:v>
                </c:pt>
                <c:pt idx="572">
                  <c:v>10</c:v>
                </c:pt>
                <c:pt idx="575">
                  <c:v>1</c:v>
                </c:pt>
                <c:pt idx="576">
                  <c:v>2</c:v>
                </c:pt>
                <c:pt idx="577">
                  <c:v>3</c:v>
                </c:pt>
                <c:pt idx="578">
                  <c:v>4</c:v>
                </c:pt>
                <c:pt idx="579">
                  <c:v>5</c:v>
                </c:pt>
                <c:pt idx="580">
                  <c:v>6</c:v>
                </c:pt>
                <c:pt idx="581">
                  <c:v>7</c:v>
                </c:pt>
                <c:pt idx="582">
                  <c:v>8</c:v>
                </c:pt>
                <c:pt idx="583">
                  <c:v>9</c:v>
                </c:pt>
                <c:pt idx="584">
                  <c:v>10</c:v>
                </c:pt>
                <c:pt idx="587">
                  <c:v>1</c:v>
                </c:pt>
                <c:pt idx="588">
                  <c:v>2</c:v>
                </c:pt>
                <c:pt idx="589">
                  <c:v>3</c:v>
                </c:pt>
                <c:pt idx="590">
                  <c:v>4</c:v>
                </c:pt>
                <c:pt idx="591">
                  <c:v>5</c:v>
                </c:pt>
                <c:pt idx="592">
                  <c:v>6</c:v>
                </c:pt>
                <c:pt idx="593">
                  <c:v>7</c:v>
                </c:pt>
                <c:pt idx="594">
                  <c:v>8</c:v>
                </c:pt>
                <c:pt idx="595">
                  <c:v>9</c:v>
                </c:pt>
                <c:pt idx="596">
                  <c:v>10</c:v>
                </c:pt>
                <c:pt idx="599">
                  <c:v>1</c:v>
                </c:pt>
                <c:pt idx="600">
                  <c:v>2</c:v>
                </c:pt>
                <c:pt idx="601">
                  <c:v>3</c:v>
                </c:pt>
                <c:pt idx="602">
                  <c:v>4</c:v>
                </c:pt>
                <c:pt idx="603">
                  <c:v>5</c:v>
                </c:pt>
                <c:pt idx="604">
                  <c:v>6</c:v>
                </c:pt>
                <c:pt idx="605">
                  <c:v>7</c:v>
                </c:pt>
                <c:pt idx="606">
                  <c:v>8</c:v>
                </c:pt>
                <c:pt idx="607">
                  <c:v>9</c:v>
                </c:pt>
                <c:pt idx="608">
                  <c:v>10</c:v>
                </c:pt>
                <c:pt idx="611">
                  <c:v>1</c:v>
                </c:pt>
                <c:pt idx="612">
                  <c:v>2</c:v>
                </c:pt>
                <c:pt idx="613">
                  <c:v>3</c:v>
                </c:pt>
                <c:pt idx="614">
                  <c:v>4</c:v>
                </c:pt>
                <c:pt idx="615">
                  <c:v>5</c:v>
                </c:pt>
                <c:pt idx="616">
                  <c:v>6</c:v>
                </c:pt>
                <c:pt idx="617">
                  <c:v>7</c:v>
                </c:pt>
                <c:pt idx="618">
                  <c:v>8</c:v>
                </c:pt>
                <c:pt idx="619">
                  <c:v>9</c:v>
                </c:pt>
                <c:pt idx="620">
                  <c:v>10</c:v>
                </c:pt>
                <c:pt idx="623">
                  <c:v>1</c:v>
                </c:pt>
                <c:pt idx="624">
                  <c:v>2</c:v>
                </c:pt>
                <c:pt idx="625">
                  <c:v>3</c:v>
                </c:pt>
                <c:pt idx="626">
                  <c:v>4</c:v>
                </c:pt>
                <c:pt idx="627">
                  <c:v>5</c:v>
                </c:pt>
                <c:pt idx="628">
                  <c:v>6</c:v>
                </c:pt>
                <c:pt idx="629">
                  <c:v>7</c:v>
                </c:pt>
                <c:pt idx="630">
                  <c:v>8</c:v>
                </c:pt>
                <c:pt idx="631">
                  <c:v>9</c:v>
                </c:pt>
                <c:pt idx="632">
                  <c:v>10</c:v>
                </c:pt>
                <c:pt idx="635">
                  <c:v>1</c:v>
                </c:pt>
                <c:pt idx="636">
                  <c:v>2</c:v>
                </c:pt>
                <c:pt idx="637">
                  <c:v>3</c:v>
                </c:pt>
                <c:pt idx="638">
                  <c:v>4</c:v>
                </c:pt>
                <c:pt idx="639">
                  <c:v>5</c:v>
                </c:pt>
                <c:pt idx="640">
                  <c:v>6</c:v>
                </c:pt>
                <c:pt idx="641">
                  <c:v>7</c:v>
                </c:pt>
                <c:pt idx="642">
                  <c:v>8</c:v>
                </c:pt>
                <c:pt idx="643">
                  <c:v>9</c:v>
                </c:pt>
                <c:pt idx="644">
                  <c:v>10</c:v>
                </c:pt>
                <c:pt idx="647">
                  <c:v>1</c:v>
                </c:pt>
                <c:pt idx="648">
                  <c:v>2</c:v>
                </c:pt>
                <c:pt idx="649">
                  <c:v>3</c:v>
                </c:pt>
                <c:pt idx="650">
                  <c:v>4</c:v>
                </c:pt>
                <c:pt idx="651">
                  <c:v>5</c:v>
                </c:pt>
                <c:pt idx="652">
                  <c:v>6</c:v>
                </c:pt>
                <c:pt idx="653">
                  <c:v>7</c:v>
                </c:pt>
                <c:pt idx="654">
                  <c:v>8</c:v>
                </c:pt>
                <c:pt idx="655">
                  <c:v>9</c:v>
                </c:pt>
                <c:pt idx="656">
                  <c:v>10</c:v>
                </c:pt>
                <c:pt idx="659">
                  <c:v>1</c:v>
                </c:pt>
                <c:pt idx="660">
                  <c:v>2</c:v>
                </c:pt>
                <c:pt idx="661">
                  <c:v>3</c:v>
                </c:pt>
                <c:pt idx="662">
                  <c:v>4</c:v>
                </c:pt>
                <c:pt idx="663">
                  <c:v>5</c:v>
                </c:pt>
                <c:pt idx="664">
                  <c:v>6</c:v>
                </c:pt>
                <c:pt idx="665">
                  <c:v>7</c:v>
                </c:pt>
                <c:pt idx="666">
                  <c:v>8</c:v>
                </c:pt>
                <c:pt idx="667">
                  <c:v>9</c:v>
                </c:pt>
                <c:pt idx="668">
                  <c:v>10</c:v>
                </c:pt>
                <c:pt idx="671">
                  <c:v>1</c:v>
                </c:pt>
                <c:pt idx="672">
                  <c:v>2</c:v>
                </c:pt>
                <c:pt idx="673">
                  <c:v>3</c:v>
                </c:pt>
                <c:pt idx="674">
                  <c:v>4</c:v>
                </c:pt>
                <c:pt idx="675">
                  <c:v>5</c:v>
                </c:pt>
                <c:pt idx="676">
                  <c:v>6</c:v>
                </c:pt>
                <c:pt idx="677">
                  <c:v>7</c:v>
                </c:pt>
                <c:pt idx="678">
                  <c:v>8</c:v>
                </c:pt>
                <c:pt idx="679">
                  <c:v>9</c:v>
                </c:pt>
                <c:pt idx="680">
                  <c:v>10</c:v>
                </c:pt>
                <c:pt idx="683">
                  <c:v>1</c:v>
                </c:pt>
                <c:pt idx="684">
                  <c:v>2</c:v>
                </c:pt>
                <c:pt idx="685">
                  <c:v>3</c:v>
                </c:pt>
                <c:pt idx="686">
                  <c:v>4</c:v>
                </c:pt>
                <c:pt idx="687">
                  <c:v>5</c:v>
                </c:pt>
                <c:pt idx="688">
                  <c:v>6</c:v>
                </c:pt>
                <c:pt idx="689">
                  <c:v>7</c:v>
                </c:pt>
                <c:pt idx="690">
                  <c:v>8</c:v>
                </c:pt>
                <c:pt idx="691">
                  <c:v>9</c:v>
                </c:pt>
                <c:pt idx="692">
                  <c:v>10</c:v>
                </c:pt>
                <c:pt idx="695">
                  <c:v>1</c:v>
                </c:pt>
                <c:pt idx="696">
                  <c:v>2</c:v>
                </c:pt>
                <c:pt idx="697">
                  <c:v>3</c:v>
                </c:pt>
                <c:pt idx="698">
                  <c:v>4</c:v>
                </c:pt>
                <c:pt idx="699">
                  <c:v>5</c:v>
                </c:pt>
                <c:pt idx="700">
                  <c:v>6</c:v>
                </c:pt>
                <c:pt idx="701">
                  <c:v>7</c:v>
                </c:pt>
                <c:pt idx="702">
                  <c:v>8</c:v>
                </c:pt>
                <c:pt idx="703">
                  <c:v>9</c:v>
                </c:pt>
                <c:pt idx="704">
                  <c:v>10</c:v>
                </c:pt>
                <c:pt idx="707">
                  <c:v>1</c:v>
                </c:pt>
                <c:pt idx="708">
                  <c:v>2</c:v>
                </c:pt>
                <c:pt idx="709">
                  <c:v>3</c:v>
                </c:pt>
                <c:pt idx="710">
                  <c:v>4</c:v>
                </c:pt>
                <c:pt idx="711">
                  <c:v>5</c:v>
                </c:pt>
                <c:pt idx="712">
                  <c:v>6</c:v>
                </c:pt>
                <c:pt idx="713">
                  <c:v>7</c:v>
                </c:pt>
                <c:pt idx="714">
                  <c:v>8</c:v>
                </c:pt>
                <c:pt idx="715">
                  <c:v>9</c:v>
                </c:pt>
                <c:pt idx="716">
                  <c:v>10</c:v>
                </c:pt>
                <c:pt idx="719">
                  <c:v>1</c:v>
                </c:pt>
                <c:pt idx="720">
                  <c:v>2</c:v>
                </c:pt>
                <c:pt idx="721">
                  <c:v>3</c:v>
                </c:pt>
                <c:pt idx="722">
                  <c:v>4</c:v>
                </c:pt>
                <c:pt idx="723">
                  <c:v>5</c:v>
                </c:pt>
                <c:pt idx="724">
                  <c:v>6</c:v>
                </c:pt>
                <c:pt idx="725">
                  <c:v>7</c:v>
                </c:pt>
                <c:pt idx="726">
                  <c:v>8</c:v>
                </c:pt>
                <c:pt idx="727">
                  <c:v>9</c:v>
                </c:pt>
                <c:pt idx="728">
                  <c:v>10</c:v>
                </c:pt>
                <c:pt idx="731">
                  <c:v>1</c:v>
                </c:pt>
                <c:pt idx="732">
                  <c:v>2</c:v>
                </c:pt>
                <c:pt idx="733">
                  <c:v>3</c:v>
                </c:pt>
                <c:pt idx="734">
                  <c:v>4</c:v>
                </c:pt>
                <c:pt idx="735">
                  <c:v>5</c:v>
                </c:pt>
                <c:pt idx="736">
                  <c:v>6</c:v>
                </c:pt>
                <c:pt idx="737">
                  <c:v>7</c:v>
                </c:pt>
                <c:pt idx="738">
                  <c:v>8</c:v>
                </c:pt>
                <c:pt idx="739">
                  <c:v>9</c:v>
                </c:pt>
                <c:pt idx="740">
                  <c:v>10</c:v>
                </c:pt>
                <c:pt idx="743">
                  <c:v>1</c:v>
                </c:pt>
                <c:pt idx="744">
                  <c:v>2</c:v>
                </c:pt>
                <c:pt idx="745">
                  <c:v>3</c:v>
                </c:pt>
                <c:pt idx="746">
                  <c:v>4</c:v>
                </c:pt>
                <c:pt idx="747">
                  <c:v>5</c:v>
                </c:pt>
                <c:pt idx="748">
                  <c:v>6</c:v>
                </c:pt>
                <c:pt idx="749">
                  <c:v>7</c:v>
                </c:pt>
                <c:pt idx="750">
                  <c:v>8</c:v>
                </c:pt>
                <c:pt idx="751">
                  <c:v>9</c:v>
                </c:pt>
                <c:pt idx="752">
                  <c:v>10</c:v>
                </c:pt>
                <c:pt idx="755">
                  <c:v>1</c:v>
                </c:pt>
                <c:pt idx="756">
                  <c:v>2</c:v>
                </c:pt>
                <c:pt idx="757">
                  <c:v>3</c:v>
                </c:pt>
                <c:pt idx="758">
                  <c:v>4</c:v>
                </c:pt>
                <c:pt idx="759">
                  <c:v>5</c:v>
                </c:pt>
                <c:pt idx="760">
                  <c:v>6</c:v>
                </c:pt>
                <c:pt idx="761">
                  <c:v>7</c:v>
                </c:pt>
                <c:pt idx="762">
                  <c:v>8</c:v>
                </c:pt>
                <c:pt idx="763">
                  <c:v>9</c:v>
                </c:pt>
                <c:pt idx="764">
                  <c:v>10</c:v>
                </c:pt>
                <c:pt idx="767">
                  <c:v>1</c:v>
                </c:pt>
                <c:pt idx="768">
                  <c:v>2</c:v>
                </c:pt>
                <c:pt idx="769">
                  <c:v>3</c:v>
                </c:pt>
                <c:pt idx="770">
                  <c:v>4</c:v>
                </c:pt>
                <c:pt idx="771">
                  <c:v>5</c:v>
                </c:pt>
                <c:pt idx="772">
                  <c:v>6</c:v>
                </c:pt>
                <c:pt idx="773">
                  <c:v>7</c:v>
                </c:pt>
                <c:pt idx="774">
                  <c:v>8</c:v>
                </c:pt>
                <c:pt idx="775">
                  <c:v>9</c:v>
                </c:pt>
                <c:pt idx="776">
                  <c:v>10</c:v>
                </c:pt>
                <c:pt idx="779">
                  <c:v>1</c:v>
                </c:pt>
                <c:pt idx="780">
                  <c:v>2</c:v>
                </c:pt>
                <c:pt idx="781">
                  <c:v>3</c:v>
                </c:pt>
                <c:pt idx="782">
                  <c:v>4</c:v>
                </c:pt>
                <c:pt idx="783">
                  <c:v>5</c:v>
                </c:pt>
                <c:pt idx="784">
                  <c:v>6</c:v>
                </c:pt>
                <c:pt idx="785">
                  <c:v>7</c:v>
                </c:pt>
                <c:pt idx="786">
                  <c:v>8</c:v>
                </c:pt>
                <c:pt idx="787">
                  <c:v>9</c:v>
                </c:pt>
                <c:pt idx="788">
                  <c:v>10</c:v>
                </c:pt>
                <c:pt idx="791">
                  <c:v>1</c:v>
                </c:pt>
                <c:pt idx="792">
                  <c:v>2</c:v>
                </c:pt>
                <c:pt idx="793">
                  <c:v>3</c:v>
                </c:pt>
                <c:pt idx="794">
                  <c:v>4</c:v>
                </c:pt>
                <c:pt idx="795">
                  <c:v>5</c:v>
                </c:pt>
                <c:pt idx="796">
                  <c:v>6</c:v>
                </c:pt>
                <c:pt idx="797">
                  <c:v>7</c:v>
                </c:pt>
                <c:pt idx="798">
                  <c:v>8</c:v>
                </c:pt>
                <c:pt idx="799">
                  <c:v>9</c:v>
                </c:pt>
                <c:pt idx="800">
                  <c:v>10</c:v>
                </c:pt>
                <c:pt idx="803">
                  <c:v>1</c:v>
                </c:pt>
                <c:pt idx="804">
                  <c:v>2</c:v>
                </c:pt>
                <c:pt idx="805">
                  <c:v>3</c:v>
                </c:pt>
                <c:pt idx="806">
                  <c:v>4</c:v>
                </c:pt>
                <c:pt idx="807">
                  <c:v>5</c:v>
                </c:pt>
                <c:pt idx="808">
                  <c:v>6</c:v>
                </c:pt>
                <c:pt idx="809">
                  <c:v>7</c:v>
                </c:pt>
                <c:pt idx="810">
                  <c:v>8</c:v>
                </c:pt>
                <c:pt idx="811">
                  <c:v>9</c:v>
                </c:pt>
                <c:pt idx="812">
                  <c:v>10</c:v>
                </c:pt>
                <c:pt idx="814">
                  <c:v>1</c:v>
                </c:pt>
                <c:pt idx="815">
                  <c:v>2</c:v>
                </c:pt>
                <c:pt idx="816">
                  <c:v>3</c:v>
                </c:pt>
                <c:pt idx="817">
                  <c:v>4</c:v>
                </c:pt>
                <c:pt idx="818">
                  <c:v>5</c:v>
                </c:pt>
                <c:pt idx="819">
                  <c:v>6</c:v>
                </c:pt>
                <c:pt idx="820">
                  <c:v>7</c:v>
                </c:pt>
                <c:pt idx="821">
                  <c:v>8</c:v>
                </c:pt>
                <c:pt idx="822">
                  <c:v>9</c:v>
                </c:pt>
                <c:pt idx="823">
                  <c:v>10</c:v>
                </c:pt>
                <c:pt idx="826">
                  <c:v>1</c:v>
                </c:pt>
                <c:pt idx="827">
                  <c:v>2</c:v>
                </c:pt>
                <c:pt idx="828">
                  <c:v>3</c:v>
                </c:pt>
                <c:pt idx="829">
                  <c:v>4</c:v>
                </c:pt>
                <c:pt idx="830">
                  <c:v>5</c:v>
                </c:pt>
                <c:pt idx="831">
                  <c:v>6</c:v>
                </c:pt>
                <c:pt idx="832">
                  <c:v>7</c:v>
                </c:pt>
                <c:pt idx="833">
                  <c:v>8</c:v>
                </c:pt>
                <c:pt idx="834">
                  <c:v>9</c:v>
                </c:pt>
                <c:pt idx="835">
                  <c:v>10</c:v>
                </c:pt>
                <c:pt idx="838">
                  <c:v>1</c:v>
                </c:pt>
                <c:pt idx="839">
                  <c:v>2</c:v>
                </c:pt>
                <c:pt idx="840">
                  <c:v>3</c:v>
                </c:pt>
                <c:pt idx="841">
                  <c:v>4</c:v>
                </c:pt>
                <c:pt idx="842">
                  <c:v>5</c:v>
                </c:pt>
                <c:pt idx="843">
                  <c:v>6</c:v>
                </c:pt>
                <c:pt idx="844">
                  <c:v>7</c:v>
                </c:pt>
                <c:pt idx="845">
                  <c:v>8</c:v>
                </c:pt>
                <c:pt idx="846">
                  <c:v>9</c:v>
                </c:pt>
                <c:pt idx="847">
                  <c:v>10</c:v>
                </c:pt>
                <c:pt idx="850">
                  <c:v>1</c:v>
                </c:pt>
                <c:pt idx="851">
                  <c:v>2</c:v>
                </c:pt>
                <c:pt idx="852">
                  <c:v>3</c:v>
                </c:pt>
                <c:pt idx="853">
                  <c:v>4</c:v>
                </c:pt>
                <c:pt idx="854">
                  <c:v>5</c:v>
                </c:pt>
                <c:pt idx="855">
                  <c:v>6</c:v>
                </c:pt>
                <c:pt idx="856">
                  <c:v>7</c:v>
                </c:pt>
                <c:pt idx="857">
                  <c:v>8</c:v>
                </c:pt>
                <c:pt idx="858">
                  <c:v>9</c:v>
                </c:pt>
                <c:pt idx="859">
                  <c:v>10</c:v>
                </c:pt>
                <c:pt idx="862">
                  <c:v>1</c:v>
                </c:pt>
                <c:pt idx="863">
                  <c:v>2</c:v>
                </c:pt>
                <c:pt idx="864">
                  <c:v>3</c:v>
                </c:pt>
                <c:pt idx="865">
                  <c:v>4</c:v>
                </c:pt>
                <c:pt idx="866">
                  <c:v>5</c:v>
                </c:pt>
                <c:pt idx="867">
                  <c:v>6</c:v>
                </c:pt>
                <c:pt idx="868">
                  <c:v>7</c:v>
                </c:pt>
                <c:pt idx="869">
                  <c:v>8</c:v>
                </c:pt>
                <c:pt idx="870">
                  <c:v>9</c:v>
                </c:pt>
                <c:pt idx="871">
                  <c:v>10</c:v>
                </c:pt>
                <c:pt idx="874">
                  <c:v>1</c:v>
                </c:pt>
                <c:pt idx="875">
                  <c:v>2</c:v>
                </c:pt>
                <c:pt idx="876">
                  <c:v>3</c:v>
                </c:pt>
                <c:pt idx="877">
                  <c:v>4</c:v>
                </c:pt>
                <c:pt idx="878">
                  <c:v>5</c:v>
                </c:pt>
                <c:pt idx="879">
                  <c:v>6</c:v>
                </c:pt>
                <c:pt idx="880">
                  <c:v>7</c:v>
                </c:pt>
                <c:pt idx="881">
                  <c:v>8</c:v>
                </c:pt>
                <c:pt idx="882">
                  <c:v>9</c:v>
                </c:pt>
                <c:pt idx="883">
                  <c:v>10</c:v>
                </c:pt>
                <c:pt idx="886">
                  <c:v>1</c:v>
                </c:pt>
                <c:pt idx="887">
                  <c:v>2</c:v>
                </c:pt>
                <c:pt idx="888">
                  <c:v>3</c:v>
                </c:pt>
                <c:pt idx="889">
                  <c:v>4</c:v>
                </c:pt>
                <c:pt idx="890">
                  <c:v>5</c:v>
                </c:pt>
                <c:pt idx="891">
                  <c:v>6</c:v>
                </c:pt>
                <c:pt idx="892">
                  <c:v>7</c:v>
                </c:pt>
                <c:pt idx="893">
                  <c:v>8</c:v>
                </c:pt>
                <c:pt idx="894">
                  <c:v>9</c:v>
                </c:pt>
                <c:pt idx="895">
                  <c:v>10</c:v>
                </c:pt>
                <c:pt idx="898">
                  <c:v>1</c:v>
                </c:pt>
                <c:pt idx="899">
                  <c:v>2</c:v>
                </c:pt>
                <c:pt idx="900">
                  <c:v>3</c:v>
                </c:pt>
                <c:pt idx="901">
                  <c:v>4</c:v>
                </c:pt>
                <c:pt idx="902">
                  <c:v>5</c:v>
                </c:pt>
                <c:pt idx="903">
                  <c:v>6</c:v>
                </c:pt>
                <c:pt idx="904">
                  <c:v>7</c:v>
                </c:pt>
                <c:pt idx="905">
                  <c:v>8</c:v>
                </c:pt>
                <c:pt idx="906">
                  <c:v>9</c:v>
                </c:pt>
                <c:pt idx="907">
                  <c:v>10</c:v>
                </c:pt>
                <c:pt idx="910">
                  <c:v>1</c:v>
                </c:pt>
                <c:pt idx="911">
                  <c:v>2</c:v>
                </c:pt>
                <c:pt idx="912">
                  <c:v>3</c:v>
                </c:pt>
                <c:pt idx="913">
                  <c:v>4</c:v>
                </c:pt>
                <c:pt idx="914">
                  <c:v>5</c:v>
                </c:pt>
                <c:pt idx="915">
                  <c:v>6</c:v>
                </c:pt>
                <c:pt idx="916">
                  <c:v>7</c:v>
                </c:pt>
                <c:pt idx="917">
                  <c:v>8</c:v>
                </c:pt>
                <c:pt idx="918">
                  <c:v>9</c:v>
                </c:pt>
                <c:pt idx="919">
                  <c:v>10</c:v>
                </c:pt>
                <c:pt idx="923">
                  <c:v>1</c:v>
                </c:pt>
                <c:pt idx="924">
                  <c:v>2</c:v>
                </c:pt>
                <c:pt idx="925">
                  <c:v>3</c:v>
                </c:pt>
                <c:pt idx="926">
                  <c:v>4</c:v>
                </c:pt>
                <c:pt idx="927">
                  <c:v>5</c:v>
                </c:pt>
                <c:pt idx="928">
                  <c:v>6</c:v>
                </c:pt>
                <c:pt idx="929">
                  <c:v>7</c:v>
                </c:pt>
                <c:pt idx="930">
                  <c:v>8</c:v>
                </c:pt>
                <c:pt idx="931">
                  <c:v>9</c:v>
                </c:pt>
                <c:pt idx="932">
                  <c:v>10</c:v>
                </c:pt>
              </c:numCache>
            </c:numRef>
          </c:xVal>
          <c:yVal>
            <c:numRef>
              <c:f>Sheet1!$E$2:$E$934</c:f>
              <c:numCache>
                <c:formatCode>0.00</c:formatCode>
                <c:ptCount val="933"/>
                <c:pt idx="0">
                  <c:v>3645.090064072624</c:v>
                </c:pt>
                <c:pt idx="1">
                  <c:v>-3571.5577666572158</c:v>
                </c:pt>
                <c:pt idx="2">
                  <c:v>-117.9531568842894</c:v>
                </c:pt>
                <c:pt idx="3">
                  <c:v>-84.147621729705293</c:v>
                </c:pt>
                <c:pt idx="4">
                  <c:v>-57.262904863770054</c:v>
                </c:pt>
                <c:pt idx="5">
                  <c:v>2154.343049551288</c:v>
                </c:pt>
                <c:pt idx="6">
                  <c:v>1092.586454877377</c:v>
                </c:pt>
                <c:pt idx="7">
                  <c:v>-989.64721088209421</c:v>
                </c:pt>
                <c:pt idx="8">
                  <c:v>-467.31054692214798</c:v>
                </c:pt>
                <c:pt idx="9">
                  <c:v>-1604.1403605618409</c:v>
                </c:pt>
                <c:pt idx="12">
                  <c:v>4003.0757807513419</c:v>
                </c:pt>
                <c:pt idx="13">
                  <c:v>-1390.3827814728861</c:v>
                </c:pt>
                <c:pt idx="14">
                  <c:v>-1420.434691679844</c:v>
                </c:pt>
                <c:pt idx="15">
                  <c:v>-219.08394239867661</c:v>
                </c:pt>
                <c:pt idx="16">
                  <c:v>853.60614690784905</c:v>
                </c:pt>
                <c:pt idx="17">
                  <c:v>949.38061589431436</c:v>
                </c:pt>
                <c:pt idx="18">
                  <c:v>1150.3829912021561</c:v>
                </c:pt>
                <c:pt idx="19">
                  <c:v>727.24689357636919</c:v>
                </c:pt>
                <c:pt idx="20">
                  <c:v>-963.95980992539251</c:v>
                </c:pt>
                <c:pt idx="21">
                  <c:v>-3689.8312028551181</c:v>
                </c:pt>
                <c:pt idx="25">
                  <c:v>-3497.069715681771</c:v>
                </c:pt>
                <c:pt idx="26">
                  <c:v>4457.235193505524</c:v>
                </c:pt>
                <c:pt idx="27">
                  <c:v>-407.91951790360019</c:v>
                </c:pt>
                <c:pt idx="28">
                  <c:v>-1581.030072416102</c:v>
                </c:pt>
                <c:pt idx="29">
                  <c:v>-1578.3795370804801</c:v>
                </c:pt>
                <c:pt idx="30">
                  <c:v>-1549.083335188604</c:v>
                </c:pt>
                <c:pt idx="31">
                  <c:v>-5.1681233867128222</c:v>
                </c:pt>
                <c:pt idx="32">
                  <c:v>-1190.775484642754</c:v>
                </c:pt>
                <c:pt idx="33">
                  <c:v>1037.6511140290449</c:v>
                </c:pt>
                <c:pt idx="34">
                  <c:v>4314.5394787657424</c:v>
                </c:pt>
                <c:pt idx="37">
                  <c:v>3631.931018404538</c:v>
                </c:pt>
                <c:pt idx="38">
                  <c:v>-1733.358057271279</c:v>
                </c:pt>
                <c:pt idx="39">
                  <c:v>-2804.7231594188211</c:v>
                </c:pt>
                <c:pt idx="40">
                  <c:v>2.4001260373677278</c:v>
                </c:pt>
                <c:pt idx="41">
                  <c:v>940.66105751356849</c:v>
                </c:pt>
                <c:pt idx="42">
                  <c:v>1012.810400209164</c:v>
                </c:pt>
                <c:pt idx="43">
                  <c:v>2147.148889998824</c:v>
                </c:pt>
                <c:pt idx="44">
                  <c:v>-501.98695662414929</c:v>
                </c:pt>
                <c:pt idx="45">
                  <c:v>-1186.9995075882359</c:v>
                </c:pt>
                <c:pt idx="46">
                  <c:v>-1507.8838112604651</c:v>
                </c:pt>
                <c:pt idx="49">
                  <c:v>-1364.911872552367</c:v>
                </c:pt>
                <c:pt idx="50">
                  <c:v>1112.0570319298761</c:v>
                </c:pt>
                <c:pt idx="51">
                  <c:v>3759.8389761853568</c:v>
                </c:pt>
                <c:pt idx="52">
                  <c:v>-833.30532515442474</c:v>
                </c:pt>
                <c:pt idx="53">
                  <c:v>590.84835898471692</c:v>
                </c:pt>
                <c:pt idx="54">
                  <c:v>-1533.235121481649</c:v>
                </c:pt>
                <c:pt idx="55">
                  <c:v>-2678.6489344139782</c:v>
                </c:pt>
                <c:pt idx="56">
                  <c:v>-1195.232707505329</c:v>
                </c:pt>
                <c:pt idx="57">
                  <c:v>1446.1020270725271</c:v>
                </c:pt>
                <c:pt idx="58">
                  <c:v>696.48756693539576</c:v>
                </c:pt>
                <c:pt idx="61">
                  <c:v>1767.9613678639521</c:v>
                </c:pt>
                <c:pt idx="62">
                  <c:v>541.37924079984896</c:v>
                </c:pt>
                <c:pt idx="63">
                  <c:v>-2095.7383773329989</c:v>
                </c:pt>
                <c:pt idx="64">
                  <c:v>-2732.416949088868</c:v>
                </c:pt>
                <c:pt idx="65">
                  <c:v>805.17270754178276</c:v>
                </c:pt>
                <c:pt idx="66">
                  <c:v>-980.00515848115822</c:v>
                </c:pt>
                <c:pt idx="67">
                  <c:v>-1287.9013092061059</c:v>
                </c:pt>
                <c:pt idx="68">
                  <c:v>-778.88485381863859</c:v>
                </c:pt>
                <c:pt idx="69">
                  <c:v>399.75032323530178</c:v>
                </c:pt>
                <c:pt idx="70">
                  <c:v>4360.6830084871726</c:v>
                </c:pt>
                <c:pt idx="73">
                  <c:v>-2070.099584060762</c:v>
                </c:pt>
                <c:pt idx="74">
                  <c:v>5099.9564775772069</c:v>
                </c:pt>
                <c:pt idx="75">
                  <c:v>-471.51251979574818</c:v>
                </c:pt>
                <c:pt idx="76">
                  <c:v>-1266.3575946293111</c:v>
                </c:pt>
                <c:pt idx="77">
                  <c:v>-2177.057085638854</c:v>
                </c:pt>
                <c:pt idx="78">
                  <c:v>-1600.7788419788219</c:v>
                </c:pt>
                <c:pt idx="79">
                  <c:v>-1503.101810617474</c:v>
                </c:pt>
                <c:pt idx="80">
                  <c:v>-127.92324977177501</c:v>
                </c:pt>
                <c:pt idx="81">
                  <c:v>1864.6154381980091</c:v>
                </c:pt>
                <c:pt idx="82">
                  <c:v>2252.2587707179669</c:v>
                </c:pt>
                <c:pt idx="85">
                  <c:v>1560.373101930136</c:v>
                </c:pt>
                <c:pt idx="86">
                  <c:v>-2853.0805627190689</c:v>
                </c:pt>
                <c:pt idx="87">
                  <c:v>-1532.4275609144941</c:v>
                </c:pt>
                <c:pt idx="88">
                  <c:v>859.06621322109186</c:v>
                </c:pt>
                <c:pt idx="89">
                  <c:v>2888.36158209922</c:v>
                </c:pt>
                <c:pt idx="90">
                  <c:v>1536.7730707883891</c:v>
                </c:pt>
                <c:pt idx="91">
                  <c:v>2805.0748620210111</c:v>
                </c:pt>
                <c:pt idx="92">
                  <c:v>54.195874295154731</c:v>
                </c:pt>
                <c:pt idx="93">
                  <c:v>-2741.0829548863489</c:v>
                </c:pt>
                <c:pt idx="94">
                  <c:v>-2577.2536258348791</c:v>
                </c:pt>
                <c:pt idx="97">
                  <c:v>-2826.685614875315</c:v>
                </c:pt>
                <c:pt idx="98">
                  <c:v>5084.2572004477825</c:v>
                </c:pt>
                <c:pt idx="99">
                  <c:v>-660.26583990024403</c:v>
                </c:pt>
                <c:pt idx="100">
                  <c:v>-731.4445322729639</c:v>
                </c:pt>
                <c:pt idx="101">
                  <c:v>-1618.450137477166</c:v>
                </c:pt>
                <c:pt idx="102">
                  <c:v>-689.73122547523985</c:v>
                </c:pt>
                <c:pt idx="103">
                  <c:v>-1302.48628079215</c:v>
                </c:pt>
                <c:pt idx="104">
                  <c:v>-1605.3977603848471</c:v>
                </c:pt>
                <c:pt idx="105">
                  <c:v>475.87775555875299</c:v>
                </c:pt>
                <c:pt idx="106">
                  <c:v>3874.3264351714251</c:v>
                </c:pt>
                <c:pt idx="109">
                  <c:v>-3877.043730428154</c:v>
                </c:pt>
                <c:pt idx="110">
                  <c:v>4349.0263780649029</c:v>
                </c:pt>
                <c:pt idx="111">
                  <c:v>2041.354050896949</c:v>
                </c:pt>
                <c:pt idx="112">
                  <c:v>-872.43913159308909</c:v>
                </c:pt>
                <c:pt idx="113">
                  <c:v>-602.43464208032924</c:v>
                </c:pt>
                <c:pt idx="114">
                  <c:v>-1146.542611912231</c:v>
                </c:pt>
                <c:pt idx="115">
                  <c:v>-2858.6921766470282</c:v>
                </c:pt>
                <c:pt idx="116">
                  <c:v>-1375.3772614593249</c:v>
                </c:pt>
                <c:pt idx="117">
                  <c:v>236.23855583060629</c:v>
                </c:pt>
                <c:pt idx="118">
                  <c:v>4105.9105693273332</c:v>
                </c:pt>
                <c:pt idx="121">
                  <c:v>4120.757182272072</c:v>
                </c:pt>
                <c:pt idx="122">
                  <c:v>-2068.4433653008132</c:v>
                </c:pt>
                <c:pt idx="123">
                  <c:v>-1409.245430659412</c:v>
                </c:pt>
                <c:pt idx="124">
                  <c:v>-273.50596932448462</c:v>
                </c:pt>
                <c:pt idx="125">
                  <c:v>827.30177537049087</c:v>
                </c:pt>
                <c:pt idx="126">
                  <c:v>1333.381575531231</c:v>
                </c:pt>
                <c:pt idx="127">
                  <c:v>357.18952348538181</c:v>
                </c:pt>
                <c:pt idx="128">
                  <c:v>-77.265599140682653</c:v>
                </c:pt>
                <c:pt idx="129">
                  <c:v>-1203.224834464442</c:v>
                </c:pt>
                <c:pt idx="130">
                  <c:v>-1606.9448577690291</c:v>
                </c:pt>
                <c:pt idx="133">
                  <c:v>-145.77919750746531</c:v>
                </c:pt>
                <c:pt idx="134">
                  <c:v>2980.8556301803501</c:v>
                </c:pt>
                <c:pt idx="135">
                  <c:v>-2813.4702613153249</c:v>
                </c:pt>
                <c:pt idx="136">
                  <c:v>-847.7227600717398</c:v>
                </c:pt>
                <c:pt idx="137">
                  <c:v>519.08263414039891</c:v>
                </c:pt>
                <c:pt idx="138">
                  <c:v>1147.5680265752701</c:v>
                </c:pt>
                <c:pt idx="139">
                  <c:v>1358.4454078427391</c:v>
                </c:pt>
                <c:pt idx="140">
                  <c:v>-545.43215814639416</c:v>
                </c:pt>
                <c:pt idx="141">
                  <c:v>-2138.6694038925989</c:v>
                </c:pt>
                <c:pt idx="142">
                  <c:v>485.12208219464497</c:v>
                </c:pt>
                <c:pt idx="145">
                  <c:v>3408.438183976587</c:v>
                </c:pt>
                <c:pt idx="146">
                  <c:v>-547.93581012239042</c:v>
                </c:pt>
                <c:pt idx="147">
                  <c:v>-2191.224717093357</c:v>
                </c:pt>
                <c:pt idx="148">
                  <c:v>-1714.569145082002</c:v>
                </c:pt>
                <c:pt idx="149">
                  <c:v>368.94047905658232</c:v>
                </c:pt>
                <c:pt idx="150">
                  <c:v>1459.093752113876</c:v>
                </c:pt>
                <c:pt idx="151">
                  <c:v>1338.0048962534549</c:v>
                </c:pt>
                <c:pt idx="152">
                  <c:v>-1101.6848685261691</c:v>
                </c:pt>
                <c:pt idx="153">
                  <c:v>-1456.27032998351</c:v>
                </c:pt>
                <c:pt idx="154">
                  <c:v>437.20755940664702</c:v>
                </c:pt>
                <c:pt idx="157">
                  <c:v>4020.9555233931151</c:v>
                </c:pt>
                <c:pt idx="158">
                  <c:v>-1563.300357182774</c:v>
                </c:pt>
                <c:pt idx="159">
                  <c:v>-223.59481950418771</c:v>
                </c:pt>
                <c:pt idx="160">
                  <c:v>172.57409697277899</c:v>
                </c:pt>
                <c:pt idx="161">
                  <c:v>418.94787713853532</c:v>
                </c:pt>
                <c:pt idx="162">
                  <c:v>203.92068951881629</c:v>
                </c:pt>
                <c:pt idx="163">
                  <c:v>-425.71884033261381</c:v>
                </c:pt>
                <c:pt idx="164">
                  <c:v>594.11107545107518</c:v>
                </c:pt>
                <c:pt idx="165">
                  <c:v>-1127.740521691667</c:v>
                </c:pt>
                <c:pt idx="166">
                  <c:v>-2070.1547237627678</c:v>
                </c:pt>
                <c:pt idx="169">
                  <c:v>-1108.430089107178</c:v>
                </c:pt>
                <c:pt idx="170">
                  <c:v>-320.11546061202381</c:v>
                </c:pt>
                <c:pt idx="171">
                  <c:v>980.53616115182751</c:v>
                </c:pt>
                <c:pt idx="172">
                  <c:v>3396.1166829253129</c:v>
                </c:pt>
                <c:pt idx="173">
                  <c:v>-1213.3196972447281</c:v>
                </c:pt>
                <c:pt idx="174">
                  <c:v>-1532.559682636617</c:v>
                </c:pt>
                <c:pt idx="175">
                  <c:v>-1380.1146624087751</c:v>
                </c:pt>
                <c:pt idx="176">
                  <c:v>469.024986635407</c:v>
                </c:pt>
                <c:pt idx="177">
                  <c:v>1830.741353551457</c:v>
                </c:pt>
                <c:pt idx="178">
                  <c:v>-1121.879592254819</c:v>
                </c:pt>
                <c:pt idx="182">
                  <c:v>3731.6106093938888</c:v>
                </c:pt>
                <c:pt idx="183">
                  <c:v>-1389.7376818392991</c:v>
                </c:pt>
                <c:pt idx="184">
                  <c:v>-2508.387123361616</c:v>
                </c:pt>
                <c:pt idx="185">
                  <c:v>623.19665530798056</c:v>
                </c:pt>
                <c:pt idx="186">
                  <c:v>452.80938892851941</c:v>
                </c:pt>
                <c:pt idx="187">
                  <c:v>786.54280600393577</c:v>
                </c:pt>
                <c:pt idx="188">
                  <c:v>655.14496271926316</c:v>
                </c:pt>
                <c:pt idx="189">
                  <c:v>715.0327998646502</c:v>
                </c:pt>
                <c:pt idx="190">
                  <c:v>-2519.116997826296</c:v>
                </c:pt>
                <c:pt idx="191">
                  <c:v>-547.0954191910206</c:v>
                </c:pt>
                <c:pt idx="195">
                  <c:v>-1579.563031749509</c:v>
                </c:pt>
                <c:pt idx="196">
                  <c:v>2652.5245483566819</c:v>
                </c:pt>
                <c:pt idx="197">
                  <c:v>-2224.3268793255879</c:v>
                </c:pt>
                <c:pt idx="198">
                  <c:v>-1105.738524744243</c:v>
                </c:pt>
                <c:pt idx="199">
                  <c:v>694.6245595420894</c:v>
                </c:pt>
                <c:pt idx="200">
                  <c:v>1077.854463832733</c:v>
                </c:pt>
                <c:pt idx="201">
                  <c:v>1074.793230020497</c:v>
                </c:pt>
                <c:pt idx="202">
                  <c:v>-756.28805986830696</c:v>
                </c:pt>
                <c:pt idx="203">
                  <c:v>-1605.932065074009</c:v>
                </c:pt>
                <c:pt idx="204">
                  <c:v>1772.0517590100319</c:v>
                </c:pt>
                <c:pt idx="209">
                  <c:v>-1332.252390948481</c:v>
                </c:pt>
                <c:pt idx="210">
                  <c:v>-1126.8358416974729</c:v>
                </c:pt>
                <c:pt idx="211">
                  <c:v>1354.79615229772</c:v>
                </c:pt>
                <c:pt idx="212">
                  <c:v>1551.5178249703361</c:v>
                </c:pt>
                <c:pt idx="213">
                  <c:v>-886.57935978831563</c:v>
                </c:pt>
                <c:pt idx="214">
                  <c:v>-931.87623281735193</c:v>
                </c:pt>
                <c:pt idx="215">
                  <c:v>-984.49004282785984</c:v>
                </c:pt>
                <c:pt idx="216">
                  <c:v>1135.805009260788</c:v>
                </c:pt>
                <c:pt idx="217">
                  <c:v>2210.3800744538289</c:v>
                </c:pt>
                <c:pt idx="218">
                  <c:v>-990.46519290300932</c:v>
                </c:pt>
                <c:pt idx="221">
                  <c:v>-2536.085600237659</c:v>
                </c:pt>
                <c:pt idx="222">
                  <c:v>533.50868920544383</c:v>
                </c:pt>
                <c:pt idx="223">
                  <c:v>-1153.868122139598</c:v>
                </c:pt>
                <c:pt idx="224">
                  <c:v>451.63079424681581</c:v>
                </c:pt>
                <c:pt idx="225">
                  <c:v>531.04656444975501</c:v>
                </c:pt>
                <c:pt idx="226">
                  <c:v>-566.72215845904532</c:v>
                </c:pt>
                <c:pt idx="227">
                  <c:v>-1039.0334870229519</c:v>
                </c:pt>
                <c:pt idx="228">
                  <c:v>791.89996525111417</c:v>
                </c:pt>
                <c:pt idx="229">
                  <c:v>76.785123836666656</c:v>
                </c:pt>
                <c:pt idx="230">
                  <c:v>2910.8382308698292</c:v>
                </c:pt>
                <c:pt idx="233">
                  <c:v>2942.753762418492</c:v>
                </c:pt>
                <c:pt idx="234">
                  <c:v>-1005.969998190602</c:v>
                </c:pt>
                <c:pt idx="235">
                  <c:v>1254.046234821368</c:v>
                </c:pt>
                <c:pt idx="236">
                  <c:v>806.7978301520817</c:v>
                </c:pt>
                <c:pt idx="237">
                  <c:v>-761.85469425922111</c:v>
                </c:pt>
                <c:pt idx="238">
                  <c:v>0.35504234270921908</c:v>
                </c:pt>
                <c:pt idx="239">
                  <c:v>-180.52288662079161</c:v>
                </c:pt>
                <c:pt idx="240">
                  <c:v>-136.76650487142871</c:v>
                </c:pt>
                <c:pt idx="241">
                  <c:v>-972.29068578225144</c:v>
                </c:pt>
                <c:pt idx="242">
                  <c:v>-1946.548100010368</c:v>
                </c:pt>
                <c:pt idx="245">
                  <c:v>-330.7796755449009</c:v>
                </c:pt>
                <c:pt idx="246">
                  <c:v>5.7500043880090397</c:v>
                </c:pt>
                <c:pt idx="247">
                  <c:v>3439.7621606904409</c:v>
                </c:pt>
                <c:pt idx="248">
                  <c:v>-474.26302323694432</c:v>
                </c:pt>
                <c:pt idx="249">
                  <c:v>-1405.066648256299</c:v>
                </c:pt>
                <c:pt idx="250">
                  <c:v>-1922.043478155495</c:v>
                </c:pt>
                <c:pt idx="251">
                  <c:v>-2226.813756887605</c:v>
                </c:pt>
                <c:pt idx="252">
                  <c:v>-629.45441087140068</c:v>
                </c:pt>
                <c:pt idx="253">
                  <c:v>3288.5597619411319</c:v>
                </c:pt>
                <c:pt idx="254">
                  <c:v>254.34906593298081</c:v>
                </c:pt>
                <c:pt idx="258">
                  <c:v>3168.399633013832</c:v>
                </c:pt>
                <c:pt idx="259">
                  <c:v>-2102.5978911433981</c:v>
                </c:pt>
                <c:pt idx="260">
                  <c:v>161.05431580061591</c:v>
                </c:pt>
                <c:pt idx="261">
                  <c:v>-428.37252515890452</c:v>
                </c:pt>
                <c:pt idx="262">
                  <c:v>652.76642744197329</c:v>
                </c:pt>
                <c:pt idx="263">
                  <c:v>518.41431443848069</c:v>
                </c:pt>
                <c:pt idx="264">
                  <c:v>-70.048661519231786</c:v>
                </c:pt>
                <c:pt idx="265">
                  <c:v>-259.69306824495538</c:v>
                </c:pt>
                <c:pt idx="266">
                  <c:v>171.54018558693019</c:v>
                </c:pt>
                <c:pt idx="267">
                  <c:v>-1811.4627302152589</c:v>
                </c:pt>
                <c:pt idx="272">
                  <c:v>1094.4029034850321</c:v>
                </c:pt>
                <c:pt idx="273">
                  <c:v>-1736.625568711029</c:v>
                </c:pt>
                <c:pt idx="274">
                  <c:v>-1152.0279873680979</c:v>
                </c:pt>
                <c:pt idx="275">
                  <c:v>-1194.915008673971</c:v>
                </c:pt>
                <c:pt idx="276">
                  <c:v>-263.50245919230917</c:v>
                </c:pt>
                <c:pt idx="277">
                  <c:v>1948.6826792636521</c:v>
                </c:pt>
                <c:pt idx="278">
                  <c:v>-391.17375437476272</c:v>
                </c:pt>
                <c:pt idx="279">
                  <c:v>277.69492060273319</c:v>
                </c:pt>
                <c:pt idx="280">
                  <c:v>2603.651585213619</c:v>
                </c:pt>
                <c:pt idx="281">
                  <c:v>-1186.1873102447221</c:v>
                </c:pt>
                <c:pt idx="284">
                  <c:v>2885.336101641823</c:v>
                </c:pt>
                <c:pt idx="285">
                  <c:v>-1561.043823141094</c:v>
                </c:pt>
                <c:pt idx="286">
                  <c:v>-1031.346012903369</c:v>
                </c:pt>
                <c:pt idx="287">
                  <c:v>-372.53259834684962</c:v>
                </c:pt>
                <c:pt idx="288">
                  <c:v>160.02007622530991</c:v>
                </c:pt>
                <c:pt idx="289">
                  <c:v>722.99786914661138</c:v>
                </c:pt>
                <c:pt idx="290">
                  <c:v>515.02615106008125</c:v>
                </c:pt>
                <c:pt idx="291">
                  <c:v>20.04274540563901</c:v>
                </c:pt>
                <c:pt idx="292">
                  <c:v>-291.88099703292511</c:v>
                </c:pt>
                <c:pt idx="293">
                  <c:v>-1046.6195120552529</c:v>
                </c:pt>
                <c:pt idx="296">
                  <c:v>-1761.6701067345659</c:v>
                </c:pt>
                <c:pt idx="297">
                  <c:v>-525.68584648798515</c:v>
                </c:pt>
                <c:pt idx="298">
                  <c:v>2343.900042721652</c:v>
                </c:pt>
                <c:pt idx="299">
                  <c:v>182.80949471393109</c:v>
                </c:pt>
                <c:pt idx="300">
                  <c:v>-1436.7552687257651</c:v>
                </c:pt>
                <c:pt idx="301">
                  <c:v>-157.4651229972454</c:v>
                </c:pt>
                <c:pt idx="302">
                  <c:v>-458.04787326791057</c:v>
                </c:pt>
                <c:pt idx="303">
                  <c:v>197.0769347238373</c:v>
                </c:pt>
                <c:pt idx="304">
                  <c:v>1492.053559538831</c:v>
                </c:pt>
                <c:pt idx="305">
                  <c:v>123.7841865150164</c:v>
                </c:pt>
                <c:pt idx="308">
                  <c:v>2132.6749135779592</c:v>
                </c:pt>
                <c:pt idx="309">
                  <c:v>-454.64817187637709</c:v>
                </c:pt>
                <c:pt idx="310">
                  <c:v>-1720.4261727838041</c:v>
                </c:pt>
                <c:pt idx="311">
                  <c:v>-798.10835824920036</c:v>
                </c:pt>
                <c:pt idx="312">
                  <c:v>655.78090211139954</c:v>
                </c:pt>
                <c:pt idx="313">
                  <c:v>809.70670668543994</c:v>
                </c:pt>
                <c:pt idx="314">
                  <c:v>779.98489248514431</c:v>
                </c:pt>
                <c:pt idx="315">
                  <c:v>-473.55880071189569</c:v>
                </c:pt>
                <c:pt idx="316">
                  <c:v>-1151.730563066174</c:v>
                </c:pt>
                <c:pt idx="317">
                  <c:v>220.3246518271489</c:v>
                </c:pt>
                <c:pt idx="321">
                  <c:v>2205.2223603390039</c:v>
                </c:pt>
                <c:pt idx="322">
                  <c:v>-1502.183314024674</c:v>
                </c:pt>
                <c:pt idx="323">
                  <c:v>-440.12609657391778</c:v>
                </c:pt>
                <c:pt idx="324">
                  <c:v>691.56317271156195</c:v>
                </c:pt>
                <c:pt idx="325">
                  <c:v>-369.29316061924982</c:v>
                </c:pt>
                <c:pt idx="326">
                  <c:v>381.08703849254761</c:v>
                </c:pt>
                <c:pt idx="327">
                  <c:v>-137.15588567119809</c:v>
                </c:pt>
                <c:pt idx="328">
                  <c:v>166.7962788783737</c:v>
                </c:pt>
                <c:pt idx="329">
                  <c:v>-581.512849883782</c:v>
                </c:pt>
                <c:pt idx="330">
                  <c:v>-414.39754364857362</c:v>
                </c:pt>
                <c:pt idx="333">
                  <c:v>2173.659797142624</c:v>
                </c:pt>
                <c:pt idx="334">
                  <c:v>-358.74465017863281</c:v>
                </c:pt>
                <c:pt idx="335">
                  <c:v>-1044.495173748491</c:v>
                </c:pt>
                <c:pt idx="336">
                  <c:v>-1545.6397213134831</c:v>
                </c:pt>
                <c:pt idx="337">
                  <c:v>403.9680520705262</c:v>
                </c:pt>
                <c:pt idx="338">
                  <c:v>1162.5089182625709</c:v>
                </c:pt>
                <c:pt idx="339">
                  <c:v>246.19274355686289</c:v>
                </c:pt>
                <c:pt idx="340">
                  <c:v>-380.32078360579197</c:v>
                </c:pt>
                <c:pt idx="341">
                  <c:v>-188.2177168925262</c:v>
                </c:pt>
                <c:pt idx="342">
                  <c:v>-468.91146529382769</c:v>
                </c:pt>
                <c:pt idx="346">
                  <c:v>1866.270847100996</c:v>
                </c:pt>
                <c:pt idx="347">
                  <c:v>-864.49595251415974</c:v>
                </c:pt>
                <c:pt idx="348">
                  <c:v>-496.09399768848328</c:v>
                </c:pt>
                <c:pt idx="349">
                  <c:v>-629.33493061298657</c:v>
                </c:pt>
                <c:pt idx="350">
                  <c:v>157.15362974836191</c:v>
                </c:pt>
                <c:pt idx="351">
                  <c:v>-1095.617501171412</c:v>
                </c:pt>
                <c:pt idx="352">
                  <c:v>-393.82108476549712</c:v>
                </c:pt>
                <c:pt idx="353">
                  <c:v>1847.8031272957001</c:v>
                </c:pt>
                <c:pt idx="354">
                  <c:v>-1044.2095487859719</c:v>
                </c:pt>
                <c:pt idx="355">
                  <c:v>652.34541139356486</c:v>
                </c:pt>
                <c:pt idx="358">
                  <c:v>-1939.6667097269551</c:v>
                </c:pt>
                <c:pt idx="359">
                  <c:v>1109.3918379469781</c:v>
                </c:pt>
                <c:pt idx="360">
                  <c:v>-1075.5261718317261</c:v>
                </c:pt>
                <c:pt idx="361">
                  <c:v>306.49517614851732</c:v>
                </c:pt>
                <c:pt idx="362">
                  <c:v>-527.14646707230281</c:v>
                </c:pt>
                <c:pt idx="363">
                  <c:v>256.10998982552348</c:v>
                </c:pt>
                <c:pt idx="364">
                  <c:v>-353.48549187048621</c:v>
                </c:pt>
                <c:pt idx="365">
                  <c:v>-227.20357518513089</c:v>
                </c:pt>
                <c:pt idx="366">
                  <c:v>402.43273650382548</c:v>
                </c:pt>
                <c:pt idx="367">
                  <c:v>2048.5986752615731</c:v>
                </c:pt>
                <c:pt idx="370">
                  <c:v>-2123.5750194722032</c:v>
                </c:pt>
                <c:pt idx="371">
                  <c:v>716.14551254590549</c:v>
                </c:pt>
                <c:pt idx="372">
                  <c:v>-306.36242910178129</c:v>
                </c:pt>
                <c:pt idx="373">
                  <c:v>-367.92505829850262</c:v>
                </c:pt>
                <c:pt idx="374">
                  <c:v>-456.85249862913793</c:v>
                </c:pt>
                <c:pt idx="375">
                  <c:v>469.91529456534568</c:v>
                </c:pt>
                <c:pt idx="376">
                  <c:v>-136.10896865748211</c:v>
                </c:pt>
                <c:pt idx="377">
                  <c:v>107.39859065787159</c:v>
                </c:pt>
                <c:pt idx="378">
                  <c:v>-40.868572141625172</c:v>
                </c:pt>
                <c:pt idx="379">
                  <c:v>2138.233148531458</c:v>
                </c:pt>
                <c:pt idx="382">
                  <c:v>-3764.084897974154</c:v>
                </c:pt>
                <c:pt idx="383">
                  <c:v>4840.3734102590388</c:v>
                </c:pt>
                <c:pt idx="384">
                  <c:v>1698.025594213193</c:v>
                </c:pt>
                <c:pt idx="385">
                  <c:v>-2963.2245898308051</c:v>
                </c:pt>
                <c:pt idx="386">
                  <c:v>488.17407422476941</c:v>
                </c:pt>
                <c:pt idx="387">
                  <c:v>449.93411385151057</c:v>
                </c:pt>
                <c:pt idx="388">
                  <c:v>996.22545018002154</c:v>
                </c:pt>
                <c:pt idx="389">
                  <c:v>269.29636156724342</c:v>
                </c:pt>
                <c:pt idx="390">
                  <c:v>-3322.0584441552869</c:v>
                </c:pt>
                <c:pt idx="391">
                  <c:v>1307.338927664503</c:v>
                </c:pt>
                <c:pt idx="394">
                  <c:v>-1107.9518059394959</c:v>
                </c:pt>
                <c:pt idx="395">
                  <c:v>-2063.1933337306382</c:v>
                </c:pt>
                <c:pt idx="396">
                  <c:v>821.81464443718039</c:v>
                </c:pt>
                <c:pt idx="397">
                  <c:v>-292.56704366971991</c:v>
                </c:pt>
                <c:pt idx="398">
                  <c:v>578.98201211290484</c:v>
                </c:pt>
                <c:pt idx="399">
                  <c:v>363.13847367752601</c:v>
                </c:pt>
                <c:pt idx="400">
                  <c:v>803.15184027578562</c:v>
                </c:pt>
                <c:pt idx="401">
                  <c:v>-338.97180114856508</c:v>
                </c:pt>
                <c:pt idx="402">
                  <c:v>-954.46146685794292</c:v>
                </c:pt>
                <c:pt idx="403">
                  <c:v>2190.0584808427352</c:v>
                </c:pt>
                <c:pt idx="406">
                  <c:v>-377.31363425029969</c:v>
                </c:pt>
                <c:pt idx="407">
                  <c:v>2170.478896148335</c:v>
                </c:pt>
                <c:pt idx="408">
                  <c:v>-1199.626427392911</c:v>
                </c:pt>
                <c:pt idx="409">
                  <c:v>797.38867969922194</c:v>
                </c:pt>
                <c:pt idx="410">
                  <c:v>-431.18783947583421</c:v>
                </c:pt>
                <c:pt idx="411">
                  <c:v>-228.93289690344889</c:v>
                </c:pt>
                <c:pt idx="412">
                  <c:v>1112.1117507345309</c:v>
                </c:pt>
                <c:pt idx="413">
                  <c:v>-469.8878297368521</c:v>
                </c:pt>
                <c:pt idx="414">
                  <c:v>-416.97316033231368</c:v>
                </c:pt>
                <c:pt idx="415">
                  <c:v>-956.05753849052417</c:v>
                </c:pt>
                <c:pt idx="418">
                  <c:v>-940.61983089455316</c:v>
                </c:pt>
                <c:pt idx="419">
                  <c:v>-213.111990022545</c:v>
                </c:pt>
                <c:pt idx="420">
                  <c:v>446.235192673661</c:v>
                </c:pt>
                <c:pt idx="421">
                  <c:v>1744.598266378805</c:v>
                </c:pt>
                <c:pt idx="422">
                  <c:v>-622.28769938425114</c:v>
                </c:pt>
                <c:pt idx="423">
                  <c:v>885.09849459100337</c:v>
                </c:pt>
                <c:pt idx="424">
                  <c:v>379.17313498766049</c:v>
                </c:pt>
                <c:pt idx="425">
                  <c:v>-989.79394800105968</c:v>
                </c:pt>
                <c:pt idx="426">
                  <c:v>1012.645755126529</c:v>
                </c:pt>
                <c:pt idx="427">
                  <c:v>-1701.937375455318</c:v>
                </c:pt>
                <c:pt idx="430">
                  <c:v>-1343.8794994957341</c:v>
                </c:pt>
                <c:pt idx="431">
                  <c:v>943.94173834692231</c:v>
                </c:pt>
                <c:pt idx="432">
                  <c:v>-117.71626930349581</c:v>
                </c:pt>
                <c:pt idx="433">
                  <c:v>837.14184665433004</c:v>
                </c:pt>
                <c:pt idx="434">
                  <c:v>-179.02665546403091</c:v>
                </c:pt>
                <c:pt idx="435">
                  <c:v>-913.12863851978557</c:v>
                </c:pt>
                <c:pt idx="436">
                  <c:v>-87.411883058641124</c:v>
                </c:pt>
                <c:pt idx="437">
                  <c:v>-344.13483914973477</c:v>
                </c:pt>
                <c:pt idx="438">
                  <c:v>-921.51858650552538</c:v>
                </c:pt>
                <c:pt idx="439">
                  <c:v>2125.7327864956728</c:v>
                </c:pt>
                <c:pt idx="443">
                  <c:v>784.00430199104972</c:v>
                </c:pt>
                <c:pt idx="444">
                  <c:v>276.22859994304957</c:v>
                </c:pt>
                <c:pt idx="445">
                  <c:v>152.41361406827531</c:v>
                </c:pt>
                <c:pt idx="446">
                  <c:v>-6.6235898059597256</c:v>
                </c:pt>
                <c:pt idx="447">
                  <c:v>-636.71530657447829</c:v>
                </c:pt>
                <c:pt idx="448">
                  <c:v>-1950.58085525863</c:v>
                </c:pt>
                <c:pt idx="449">
                  <c:v>67.283891442126972</c:v>
                </c:pt>
                <c:pt idx="450">
                  <c:v>-728.28181904357029</c:v>
                </c:pt>
                <c:pt idx="451">
                  <c:v>-366.67082151659429</c:v>
                </c:pt>
                <c:pt idx="452">
                  <c:v>2408.941984754591</c:v>
                </c:pt>
                <c:pt idx="454">
                  <c:v>354.89112275271691</c:v>
                </c:pt>
                <c:pt idx="455">
                  <c:v>-1856.9365349080911</c:v>
                </c:pt>
                <c:pt idx="456">
                  <c:v>-828.13058251230734</c:v>
                </c:pt>
                <c:pt idx="457">
                  <c:v>-831.69606676294416</c:v>
                </c:pt>
                <c:pt idx="458">
                  <c:v>208.93419679039971</c:v>
                </c:pt>
                <c:pt idx="459">
                  <c:v>1099.058873227639</c:v>
                </c:pt>
                <c:pt idx="460">
                  <c:v>2353.1602120953798</c:v>
                </c:pt>
                <c:pt idx="461">
                  <c:v>-747.31087019518486</c:v>
                </c:pt>
                <c:pt idx="462">
                  <c:v>387.9094435078008</c:v>
                </c:pt>
                <c:pt idx="463">
                  <c:v>-139.87979399529439</c:v>
                </c:pt>
                <c:pt idx="466">
                  <c:v>1224.586045888065</c:v>
                </c:pt>
                <c:pt idx="467">
                  <c:v>-2011.483305966246</c:v>
                </c:pt>
                <c:pt idx="468">
                  <c:v>-268.08519482186807</c:v>
                </c:pt>
                <c:pt idx="469">
                  <c:v>-571.0569841175494</c:v>
                </c:pt>
                <c:pt idx="470">
                  <c:v>-232.33397471872351</c:v>
                </c:pt>
                <c:pt idx="471">
                  <c:v>44.981473762333373</c:v>
                </c:pt>
                <c:pt idx="472">
                  <c:v>-232.37053350747729</c:v>
                </c:pt>
                <c:pt idx="473">
                  <c:v>-105.88217142158381</c:v>
                </c:pt>
                <c:pt idx="474">
                  <c:v>2836.5330083971298</c:v>
                </c:pt>
                <c:pt idx="475">
                  <c:v>-684.88836349424764</c:v>
                </c:pt>
                <c:pt idx="478">
                  <c:v>1606.903337050747</c:v>
                </c:pt>
                <c:pt idx="479">
                  <c:v>-219.16390287616809</c:v>
                </c:pt>
                <c:pt idx="480">
                  <c:v>134.98484079265941</c:v>
                </c:pt>
                <c:pt idx="481">
                  <c:v>-792.69854775918793</c:v>
                </c:pt>
                <c:pt idx="482">
                  <c:v>2586.6592674992949</c:v>
                </c:pt>
                <c:pt idx="483">
                  <c:v>-15.13734086524412</c:v>
                </c:pt>
                <c:pt idx="484">
                  <c:v>-583.92881681406834</c:v>
                </c:pt>
                <c:pt idx="485">
                  <c:v>-1681.5314628148019</c:v>
                </c:pt>
                <c:pt idx="486">
                  <c:v>-1050.7119599862449</c:v>
                </c:pt>
                <c:pt idx="487">
                  <c:v>14.62458577306527</c:v>
                </c:pt>
                <c:pt idx="491">
                  <c:v>-1104.35335556988</c:v>
                </c:pt>
                <c:pt idx="492">
                  <c:v>-557.61595458876116</c:v>
                </c:pt>
                <c:pt idx="493">
                  <c:v>-877.32811617323785</c:v>
                </c:pt>
                <c:pt idx="494">
                  <c:v>-125.1494446977616</c:v>
                </c:pt>
                <c:pt idx="495">
                  <c:v>396.7270861619146</c:v>
                </c:pt>
                <c:pt idx="496">
                  <c:v>-293.63922835416219</c:v>
                </c:pt>
                <c:pt idx="497">
                  <c:v>-359.8996699096125</c:v>
                </c:pt>
                <c:pt idx="498">
                  <c:v>3642.3506573639579</c:v>
                </c:pt>
                <c:pt idx="499">
                  <c:v>-827.06421623875019</c:v>
                </c:pt>
                <c:pt idx="500">
                  <c:v>105.9722420064636</c:v>
                </c:pt>
                <c:pt idx="503">
                  <c:v>-1614.322581780312</c:v>
                </c:pt>
                <c:pt idx="504">
                  <c:v>-1739.976183974984</c:v>
                </c:pt>
                <c:pt idx="505">
                  <c:v>591.20314470071207</c:v>
                </c:pt>
                <c:pt idx="506">
                  <c:v>655.62165775406186</c:v>
                </c:pt>
                <c:pt idx="507">
                  <c:v>2512.7388440384188</c:v>
                </c:pt>
                <c:pt idx="508">
                  <c:v>1314.206683613309</c:v>
                </c:pt>
                <c:pt idx="509">
                  <c:v>-485.61089286737661</c:v>
                </c:pt>
                <c:pt idx="510">
                  <c:v>379.03871343793298</c:v>
                </c:pt>
                <c:pt idx="511">
                  <c:v>-539.64530688244747</c:v>
                </c:pt>
                <c:pt idx="512">
                  <c:v>-1073.254078039068</c:v>
                </c:pt>
                <c:pt idx="515">
                  <c:v>-5200.0219696610848</c:v>
                </c:pt>
                <c:pt idx="516">
                  <c:v>5369.1255441837966</c:v>
                </c:pt>
                <c:pt idx="517">
                  <c:v>651.53942208086744</c:v>
                </c:pt>
                <c:pt idx="518">
                  <c:v>-2485.4843925441342</c:v>
                </c:pt>
                <c:pt idx="519">
                  <c:v>-21.19943083694308</c:v>
                </c:pt>
                <c:pt idx="520">
                  <c:v>-813.0871735211465</c:v>
                </c:pt>
                <c:pt idx="521">
                  <c:v>90.868007765050734</c:v>
                </c:pt>
                <c:pt idx="522">
                  <c:v>-731.01046045828332</c:v>
                </c:pt>
                <c:pt idx="523">
                  <c:v>1054.749124068836</c:v>
                </c:pt>
                <c:pt idx="524">
                  <c:v>2084.52132892289</c:v>
                </c:pt>
                <c:pt idx="527">
                  <c:v>-305.31921890891311</c:v>
                </c:pt>
                <c:pt idx="528">
                  <c:v>-891.3524582603369</c:v>
                </c:pt>
                <c:pt idx="529">
                  <c:v>-251.33692213358611</c:v>
                </c:pt>
                <c:pt idx="530">
                  <c:v>1057.3577186478719</c:v>
                </c:pt>
                <c:pt idx="531">
                  <c:v>2567.3532028209602</c:v>
                </c:pt>
                <c:pt idx="532">
                  <c:v>596.29604110363402</c:v>
                </c:pt>
                <c:pt idx="533">
                  <c:v>-2554.3703802508999</c:v>
                </c:pt>
                <c:pt idx="534">
                  <c:v>-865.75701622401039</c:v>
                </c:pt>
                <c:pt idx="535">
                  <c:v>982.99349893144245</c:v>
                </c:pt>
                <c:pt idx="536">
                  <c:v>-335.86446572638738</c:v>
                </c:pt>
                <c:pt idx="539">
                  <c:v>-410.9822788517908</c:v>
                </c:pt>
                <c:pt idx="540">
                  <c:v>-1154.6743901351001</c:v>
                </c:pt>
                <c:pt idx="541">
                  <c:v>975.86440032201551</c:v>
                </c:pt>
                <c:pt idx="542">
                  <c:v>-1192.0468455959999</c:v>
                </c:pt>
                <c:pt idx="543">
                  <c:v>2622.859935129286</c:v>
                </c:pt>
                <c:pt idx="544">
                  <c:v>-1271.49785781797</c:v>
                </c:pt>
                <c:pt idx="545">
                  <c:v>209.69433475805519</c:v>
                </c:pt>
                <c:pt idx="546">
                  <c:v>-1625.099436071607</c:v>
                </c:pt>
                <c:pt idx="547">
                  <c:v>2219.6277979810579</c:v>
                </c:pt>
                <c:pt idx="548">
                  <c:v>-373.74565971819459</c:v>
                </c:pt>
                <c:pt idx="551">
                  <c:v>-663.56608992968813</c:v>
                </c:pt>
                <c:pt idx="552">
                  <c:v>-3013.800732008187</c:v>
                </c:pt>
                <c:pt idx="553">
                  <c:v>3370.240094806682</c:v>
                </c:pt>
                <c:pt idx="554">
                  <c:v>330.60904885023177</c:v>
                </c:pt>
                <c:pt idx="555">
                  <c:v>493.17273348001459</c:v>
                </c:pt>
                <c:pt idx="556">
                  <c:v>237.220412609682</c:v>
                </c:pt>
                <c:pt idx="557">
                  <c:v>148.68183652833909</c:v>
                </c:pt>
                <c:pt idx="558">
                  <c:v>-699.8870604731411</c:v>
                </c:pt>
                <c:pt idx="559">
                  <c:v>-411.88697363274969</c:v>
                </c:pt>
                <c:pt idx="560">
                  <c:v>209.21672976860251</c:v>
                </c:pt>
                <c:pt idx="563">
                  <c:v>351.1489740388073</c:v>
                </c:pt>
                <c:pt idx="564">
                  <c:v>-597.40819102306125</c:v>
                </c:pt>
                <c:pt idx="565">
                  <c:v>-1885.5467164738279</c:v>
                </c:pt>
                <c:pt idx="566">
                  <c:v>-21.013677925940929</c:v>
                </c:pt>
                <c:pt idx="567">
                  <c:v>4012.2081323777738</c:v>
                </c:pt>
                <c:pt idx="568">
                  <c:v>-135.95270545323109</c:v>
                </c:pt>
                <c:pt idx="569">
                  <c:v>92.71029671973325</c:v>
                </c:pt>
                <c:pt idx="570">
                  <c:v>-1244.0406013728641</c:v>
                </c:pt>
                <c:pt idx="571">
                  <c:v>-6.5132584553927924</c:v>
                </c:pt>
                <c:pt idx="572">
                  <c:v>-565.59225243211097</c:v>
                </c:pt>
                <c:pt idx="575">
                  <c:v>1689.477900020092</c:v>
                </c:pt>
                <c:pt idx="576">
                  <c:v>-1263.7223129837409</c:v>
                </c:pt>
                <c:pt idx="577">
                  <c:v>-2655.8548635726311</c:v>
                </c:pt>
                <c:pt idx="578">
                  <c:v>-652.25032117949127</c:v>
                </c:pt>
                <c:pt idx="579">
                  <c:v>3033.019940823845</c:v>
                </c:pt>
                <c:pt idx="580">
                  <c:v>-236.97860367068071</c:v>
                </c:pt>
                <c:pt idx="581">
                  <c:v>481.2399412795437</c:v>
                </c:pt>
                <c:pt idx="582">
                  <c:v>44.29598543299803</c:v>
                </c:pt>
                <c:pt idx="583">
                  <c:v>11.84513017367634</c:v>
                </c:pt>
                <c:pt idx="584">
                  <c:v>-451.0727963232743</c:v>
                </c:pt>
                <c:pt idx="587">
                  <c:v>286.32826048664612</c:v>
                </c:pt>
                <c:pt idx="588">
                  <c:v>-558.37628767277238</c:v>
                </c:pt>
                <c:pt idx="589">
                  <c:v>4063.7340070824789</c:v>
                </c:pt>
                <c:pt idx="590">
                  <c:v>-2747.718136944075</c:v>
                </c:pt>
                <c:pt idx="591">
                  <c:v>461.03882252375058</c:v>
                </c:pt>
                <c:pt idx="592">
                  <c:v>-173.35271626747121</c:v>
                </c:pt>
                <c:pt idx="593">
                  <c:v>-60.144318160172332</c:v>
                </c:pt>
                <c:pt idx="594">
                  <c:v>92.81444168739641</c:v>
                </c:pt>
                <c:pt idx="595">
                  <c:v>-272.7330858713517</c:v>
                </c:pt>
                <c:pt idx="596">
                  <c:v>-1091.5909868649001</c:v>
                </c:pt>
                <c:pt idx="599">
                  <c:v>-2952.733552918894</c:v>
                </c:pt>
                <c:pt idx="600">
                  <c:v>-1862.285208123873</c:v>
                </c:pt>
                <c:pt idx="601">
                  <c:v>1430.4113922709071</c:v>
                </c:pt>
                <c:pt idx="602">
                  <c:v>-683.08970404969887</c:v>
                </c:pt>
                <c:pt idx="603">
                  <c:v>-2054.022302211828</c:v>
                </c:pt>
                <c:pt idx="604">
                  <c:v>621.73313772654433</c:v>
                </c:pt>
                <c:pt idx="605">
                  <c:v>-1324.195633340307</c:v>
                </c:pt>
                <c:pt idx="606">
                  <c:v>-1137.5209583845401</c:v>
                </c:pt>
                <c:pt idx="607">
                  <c:v>2370.3072328187409</c:v>
                </c:pt>
                <c:pt idx="608">
                  <c:v>5591.3955962129676</c:v>
                </c:pt>
                <c:pt idx="611">
                  <c:v>5739.3869184432542</c:v>
                </c:pt>
                <c:pt idx="612">
                  <c:v>-2383.317134636226</c:v>
                </c:pt>
                <c:pt idx="613">
                  <c:v>-3688.1095054379548</c:v>
                </c:pt>
                <c:pt idx="614">
                  <c:v>1421.998770065549</c:v>
                </c:pt>
                <c:pt idx="615">
                  <c:v>-59.141581326936617</c:v>
                </c:pt>
                <c:pt idx="616">
                  <c:v>2314.6546948502892</c:v>
                </c:pt>
                <c:pt idx="617">
                  <c:v>281.07419508630551</c:v>
                </c:pt>
                <c:pt idx="618">
                  <c:v>1914.0282213960161</c:v>
                </c:pt>
                <c:pt idx="619">
                  <c:v>-1888.004469253056</c:v>
                </c:pt>
                <c:pt idx="620">
                  <c:v>-3652.570109186729</c:v>
                </c:pt>
                <c:pt idx="623">
                  <c:v>3963.1847089292528</c:v>
                </c:pt>
                <c:pt idx="624">
                  <c:v>-3866.558563323847</c:v>
                </c:pt>
                <c:pt idx="625">
                  <c:v>-2628.766075540826</c:v>
                </c:pt>
                <c:pt idx="626">
                  <c:v>2305.5285080591111</c:v>
                </c:pt>
                <c:pt idx="627">
                  <c:v>-579.24765949614562</c:v>
                </c:pt>
                <c:pt idx="628">
                  <c:v>262.23776676584322</c:v>
                </c:pt>
                <c:pt idx="629">
                  <c:v>2086.3562826314528</c:v>
                </c:pt>
                <c:pt idx="630">
                  <c:v>942.51579979880671</c:v>
                </c:pt>
                <c:pt idx="631">
                  <c:v>-1705.727489877009</c:v>
                </c:pt>
                <c:pt idx="632">
                  <c:v>-779.52327794675057</c:v>
                </c:pt>
                <c:pt idx="635">
                  <c:v>-3554.6112565577059</c:v>
                </c:pt>
                <c:pt idx="636">
                  <c:v>3483.769162526542</c:v>
                </c:pt>
                <c:pt idx="637">
                  <c:v>-820.58457197177381</c:v>
                </c:pt>
                <c:pt idx="638">
                  <c:v>-548.26152924738381</c:v>
                </c:pt>
                <c:pt idx="639">
                  <c:v>-339.33164444286137</c:v>
                </c:pt>
                <c:pt idx="640">
                  <c:v>-301.65960225011548</c:v>
                </c:pt>
                <c:pt idx="641">
                  <c:v>-77.945823043559614</c:v>
                </c:pt>
                <c:pt idx="642">
                  <c:v>-891.34836703039207</c:v>
                </c:pt>
                <c:pt idx="643">
                  <c:v>-743.12821292826072</c:v>
                </c:pt>
                <c:pt idx="644">
                  <c:v>3793.101844946028</c:v>
                </c:pt>
                <c:pt idx="647">
                  <c:v>-3462.516981641922</c:v>
                </c:pt>
                <c:pt idx="648">
                  <c:v>4924.3508282861312</c:v>
                </c:pt>
                <c:pt idx="649">
                  <c:v>-1292.9254094511739</c:v>
                </c:pt>
                <c:pt idx="650">
                  <c:v>1026.9514840239369</c:v>
                </c:pt>
                <c:pt idx="651">
                  <c:v>213.2543425256016</c:v>
                </c:pt>
                <c:pt idx="652">
                  <c:v>1656.278522921144</c:v>
                </c:pt>
                <c:pt idx="653">
                  <c:v>723.41835626075908</c:v>
                </c:pt>
                <c:pt idx="654">
                  <c:v>-685.3949016033049</c:v>
                </c:pt>
                <c:pt idx="655">
                  <c:v>-2081.7801925789809</c:v>
                </c:pt>
                <c:pt idx="656">
                  <c:v>-1021.6360487422201</c:v>
                </c:pt>
                <c:pt idx="659">
                  <c:v>-3525.8357378525161</c:v>
                </c:pt>
                <c:pt idx="660">
                  <c:v>-1235.610555613521</c:v>
                </c:pt>
                <c:pt idx="661">
                  <c:v>2809.7292311206629</c:v>
                </c:pt>
                <c:pt idx="662">
                  <c:v>-601.55936258107897</c:v>
                </c:pt>
                <c:pt idx="663">
                  <c:v>-826.07943018569745</c:v>
                </c:pt>
                <c:pt idx="664">
                  <c:v>-1374.534395389971</c:v>
                </c:pt>
                <c:pt idx="665">
                  <c:v>-1202.208342394483</c:v>
                </c:pt>
                <c:pt idx="666">
                  <c:v>339.88578300088483</c:v>
                </c:pt>
                <c:pt idx="667">
                  <c:v>1461.3127503126841</c:v>
                </c:pt>
                <c:pt idx="668">
                  <c:v>4154.9000595829593</c:v>
                </c:pt>
                <c:pt idx="671">
                  <c:v>-1604.586210359493</c:v>
                </c:pt>
                <c:pt idx="672">
                  <c:v>4173.0921333045553</c:v>
                </c:pt>
                <c:pt idx="673">
                  <c:v>81.569274130274962</c:v>
                </c:pt>
                <c:pt idx="674">
                  <c:v>-373.87694779739508</c:v>
                </c:pt>
                <c:pt idx="675">
                  <c:v>-2266.283645217663</c:v>
                </c:pt>
                <c:pt idx="676">
                  <c:v>-1383.8186786069871</c:v>
                </c:pt>
                <c:pt idx="677">
                  <c:v>-1536.1978560347241</c:v>
                </c:pt>
                <c:pt idx="678">
                  <c:v>-118.9650521824677</c:v>
                </c:pt>
                <c:pt idx="679">
                  <c:v>-287.09862020096853</c:v>
                </c:pt>
                <c:pt idx="680">
                  <c:v>3316.1656029654791</c:v>
                </c:pt>
                <c:pt idx="683">
                  <c:v>-1871.3386543264919</c:v>
                </c:pt>
                <c:pt idx="684">
                  <c:v>-1693.2743343137031</c:v>
                </c:pt>
                <c:pt idx="685">
                  <c:v>2285.6203075351659</c:v>
                </c:pt>
                <c:pt idx="686">
                  <c:v>1297.230960281403</c:v>
                </c:pt>
                <c:pt idx="687">
                  <c:v>-1277.196789064405</c:v>
                </c:pt>
                <c:pt idx="688">
                  <c:v>-1095.3135644025781</c:v>
                </c:pt>
                <c:pt idx="689">
                  <c:v>-1638.275176611799</c:v>
                </c:pt>
                <c:pt idx="690">
                  <c:v>45.632250836907971</c:v>
                </c:pt>
                <c:pt idx="691">
                  <c:v>5468.8117527905206</c:v>
                </c:pt>
                <c:pt idx="692">
                  <c:v>-1521.8967527251059</c:v>
                </c:pt>
                <c:pt idx="695">
                  <c:v>-659.41516700979446</c:v>
                </c:pt>
                <c:pt idx="696">
                  <c:v>-3310.412796493054</c:v>
                </c:pt>
                <c:pt idx="697">
                  <c:v>2649.2179959521468</c:v>
                </c:pt>
                <c:pt idx="698">
                  <c:v>1476.483530080423</c:v>
                </c:pt>
                <c:pt idx="699">
                  <c:v>-274.06504286691421</c:v>
                </c:pt>
                <c:pt idx="700">
                  <c:v>504.09788081070951</c:v>
                </c:pt>
                <c:pt idx="701">
                  <c:v>-447.57216264194</c:v>
                </c:pt>
                <c:pt idx="702">
                  <c:v>-878.24253813012365</c:v>
                </c:pt>
                <c:pt idx="703">
                  <c:v>3506.384242765756</c:v>
                </c:pt>
                <c:pt idx="704">
                  <c:v>-2566.4759424673571</c:v>
                </c:pt>
                <c:pt idx="707">
                  <c:v>4274.1021181874466</c:v>
                </c:pt>
                <c:pt idx="708">
                  <c:v>-2093.084166138769</c:v>
                </c:pt>
                <c:pt idx="709">
                  <c:v>968.82227338414634</c:v>
                </c:pt>
                <c:pt idx="710">
                  <c:v>463.7065526362386</c:v>
                </c:pt>
                <c:pt idx="711">
                  <c:v>443.31640201063692</c:v>
                </c:pt>
                <c:pt idx="712">
                  <c:v>-540.78848327840012</c:v>
                </c:pt>
                <c:pt idx="713">
                  <c:v>-312.80562091321917</c:v>
                </c:pt>
                <c:pt idx="714">
                  <c:v>672.88940546794345</c:v>
                </c:pt>
                <c:pt idx="715">
                  <c:v>96.04697226319206</c:v>
                </c:pt>
                <c:pt idx="716">
                  <c:v>-3972.2054536189798</c:v>
                </c:pt>
                <c:pt idx="719">
                  <c:v>-1327.433480361077</c:v>
                </c:pt>
                <c:pt idx="720">
                  <c:v>121.2041948564072</c:v>
                </c:pt>
                <c:pt idx="721">
                  <c:v>250.63272208814249</c:v>
                </c:pt>
                <c:pt idx="722">
                  <c:v>-1626.8585882109071</c:v>
                </c:pt>
                <c:pt idx="723">
                  <c:v>175.93472954510619</c:v>
                </c:pt>
                <c:pt idx="724">
                  <c:v>-1288.0647615428099</c:v>
                </c:pt>
                <c:pt idx="725">
                  <c:v>70.688347223352181</c:v>
                </c:pt>
                <c:pt idx="726">
                  <c:v>-625.19655821076219</c:v>
                </c:pt>
                <c:pt idx="727">
                  <c:v>4774.1870882589392</c:v>
                </c:pt>
                <c:pt idx="728">
                  <c:v>-525.09369364590043</c:v>
                </c:pt>
                <c:pt idx="731">
                  <c:v>3874.8195852031681</c:v>
                </c:pt>
                <c:pt idx="732">
                  <c:v>-1235.0337404191</c:v>
                </c:pt>
                <c:pt idx="733">
                  <c:v>-1016.5331870757529</c:v>
                </c:pt>
                <c:pt idx="734">
                  <c:v>1677.2877877933549</c:v>
                </c:pt>
                <c:pt idx="735">
                  <c:v>-78.52775040030734</c:v>
                </c:pt>
                <c:pt idx="736">
                  <c:v>-776.48708999417784</c:v>
                </c:pt>
                <c:pt idx="737">
                  <c:v>-548.5792021144855</c:v>
                </c:pt>
                <c:pt idx="738">
                  <c:v>1953.4040521566019</c:v>
                </c:pt>
                <c:pt idx="739">
                  <c:v>-687.10444320412694</c:v>
                </c:pt>
                <c:pt idx="740">
                  <c:v>-3163.2460119451412</c:v>
                </c:pt>
                <c:pt idx="743">
                  <c:v>-3276.1025338713648</c:v>
                </c:pt>
                <c:pt idx="744">
                  <c:v>783.67831468968348</c:v>
                </c:pt>
                <c:pt idx="745">
                  <c:v>4204.964499033933</c:v>
                </c:pt>
                <c:pt idx="746">
                  <c:v>-791.99731800090342</c:v>
                </c:pt>
                <c:pt idx="747">
                  <c:v>223.77553980488119</c:v>
                </c:pt>
                <c:pt idx="748">
                  <c:v>148.85786556263099</c:v>
                </c:pt>
                <c:pt idx="749">
                  <c:v>714.9408452636859</c:v>
                </c:pt>
                <c:pt idx="750">
                  <c:v>-1583.104855043244</c:v>
                </c:pt>
                <c:pt idx="751">
                  <c:v>740.62526600906597</c:v>
                </c:pt>
                <c:pt idx="752">
                  <c:v>-1165.637623448082</c:v>
                </c:pt>
                <c:pt idx="755">
                  <c:v>3878.306505349397</c:v>
                </c:pt>
                <c:pt idx="756">
                  <c:v>-2240.3333895407509</c:v>
                </c:pt>
                <c:pt idx="757">
                  <c:v>-2156.0496704787579</c:v>
                </c:pt>
                <c:pt idx="758">
                  <c:v>1044.260504545276</c:v>
                </c:pt>
                <c:pt idx="759">
                  <c:v>866.67875827969954</c:v>
                </c:pt>
                <c:pt idx="760">
                  <c:v>1271.2592619571899</c:v>
                </c:pt>
                <c:pt idx="761">
                  <c:v>797.53447571333857</c:v>
                </c:pt>
                <c:pt idx="762">
                  <c:v>544.61453798094999</c:v>
                </c:pt>
                <c:pt idx="763">
                  <c:v>-1912.6136200515291</c:v>
                </c:pt>
                <c:pt idx="764">
                  <c:v>-2093.6573637545739</c:v>
                </c:pt>
                <c:pt idx="767">
                  <c:v>4859.8084724667988</c:v>
                </c:pt>
                <c:pt idx="768">
                  <c:v>-1256.4845000125661</c:v>
                </c:pt>
                <c:pt idx="769">
                  <c:v>-485.84696308706191</c:v>
                </c:pt>
                <c:pt idx="770">
                  <c:v>-927.12790824784247</c:v>
                </c:pt>
                <c:pt idx="771">
                  <c:v>895.81728505069384</c:v>
                </c:pt>
                <c:pt idx="772">
                  <c:v>388.17628065867052</c:v>
                </c:pt>
                <c:pt idx="773">
                  <c:v>356.78673111972171</c:v>
                </c:pt>
                <c:pt idx="774">
                  <c:v>652.07302285936566</c:v>
                </c:pt>
                <c:pt idx="775">
                  <c:v>-1877.547634541434</c:v>
                </c:pt>
                <c:pt idx="776">
                  <c:v>-2605.6547862657599</c:v>
                </c:pt>
                <c:pt idx="779">
                  <c:v>3643.5793950690918</c:v>
                </c:pt>
                <c:pt idx="780">
                  <c:v>-1176.807879528026</c:v>
                </c:pt>
                <c:pt idx="781">
                  <c:v>-3463.2301592371691</c:v>
                </c:pt>
                <c:pt idx="782">
                  <c:v>2292.0523316341159</c:v>
                </c:pt>
                <c:pt idx="783">
                  <c:v>352.26798722579213</c:v>
                </c:pt>
                <c:pt idx="784">
                  <c:v>1097.389700711399</c:v>
                </c:pt>
                <c:pt idx="785">
                  <c:v>64.803292849323697</c:v>
                </c:pt>
                <c:pt idx="786">
                  <c:v>550.90212383519849</c:v>
                </c:pt>
                <c:pt idx="787">
                  <c:v>-1560.434530432846</c:v>
                </c:pt>
                <c:pt idx="788">
                  <c:v>-1800.522262127005</c:v>
                </c:pt>
                <c:pt idx="791">
                  <c:v>-1191.4996176026141</c:v>
                </c:pt>
                <c:pt idx="792">
                  <c:v>3989.7475921463629</c:v>
                </c:pt>
                <c:pt idx="793">
                  <c:v>1939.2693653118611</c:v>
                </c:pt>
                <c:pt idx="794">
                  <c:v>-1661.3126287155869</c:v>
                </c:pt>
                <c:pt idx="795">
                  <c:v>-2320.6144334458131</c:v>
                </c:pt>
                <c:pt idx="796">
                  <c:v>-1678.0814349316629</c:v>
                </c:pt>
                <c:pt idx="797">
                  <c:v>-2013.706111876201</c:v>
                </c:pt>
                <c:pt idx="798">
                  <c:v>-501.88907031721402</c:v>
                </c:pt>
                <c:pt idx="799">
                  <c:v>918.91062494619428</c:v>
                </c:pt>
                <c:pt idx="800">
                  <c:v>2519.175714484878</c:v>
                </c:pt>
                <c:pt idx="803">
                  <c:v>-1223.6760671316231</c:v>
                </c:pt>
                <c:pt idx="804">
                  <c:v>3143.6182211845512</c:v>
                </c:pt>
                <c:pt idx="805">
                  <c:v>2488.2817424601349</c:v>
                </c:pt>
                <c:pt idx="806">
                  <c:v>2064.326781130796</c:v>
                </c:pt>
                <c:pt idx="807">
                  <c:v>-1530.3118137083609</c:v>
                </c:pt>
                <c:pt idx="808">
                  <c:v>-1844.3144029588209</c:v>
                </c:pt>
                <c:pt idx="809">
                  <c:v>-1972.4220656647531</c:v>
                </c:pt>
                <c:pt idx="810">
                  <c:v>-1524.4851944148691</c:v>
                </c:pt>
                <c:pt idx="811">
                  <c:v>-484.2294162187452</c:v>
                </c:pt>
                <c:pt idx="812">
                  <c:v>883.21221532155823</c:v>
                </c:pt>
                <c:pt idx="814">
                  <c:v>-1449.5204095653321</c:v>
                </c:pt>
                <c:pt idx="815">
                  <c:v>776.51810952561812</c:v>
                </c:pt>
                <c:pt idx="816">
                  <c:v>3922.225718583491</c:v>
                </c:pt>
                <c:pt idx="817">
                  <c:v>372.47748284392372</c:v>
                </c:pt>
                <c:pt idx="818">
                  <c:v>-2156.5400695845201</c:v>
                </c:pt>
                <c:pt idx="819">
                  <c:v>-2314.782538123246</c:v>
                </c:pt>
                <c:pt idx="820">
                  <c:v>-2440.947887902842</c:v>
                </c:pt>
                <c:pt idx="821">
                  <c:v>882.96006913491215</c:v>
                </c:pt>
                <c:pt idx="822">
                  <c:v>2238.089689214698</c:v>
                </c:pt>
                <c:pt idx="823">
                  <c:v>169.51983587385931</c:v>
                </c:pt>
                <c:pt idx="826">
                  <c:v>3579.59971337039</c:v>
                </c:pt>
                <c:pt idx="827">
                  <c:v>-1649.032043176124</c:v>
                </c:pt>
                <c:pt idx="828">
                  <c:v>-2088.857163852254</c:v>
                </c:pt>
                <c:pt idx="829">
                  <c:v>-2318.7593947531309</c:v>
                </c:pt>
                <c:pt idx="830">
                  <c:v>2078.2712178684701</c:v>
                </c:pt>
                <c:pt idx="831">
                  <c:v>2501.6605194152721</c:v>
                </c:pt>
                <c:pt idx="832">
                  <c:v>1241.572513325634</c:v>
                </c:pt>
                <c:pt idx="833">
                  <c:v>92.461810370033916</c:v>
                </c:pt>
                <c:pt idx="834">
                  <c:v>-1895.9646655099259</c:v>
                </c:pt>
                <c:pt idx="835">
                  <c:v>-1540.9525070579971</c:v>
                </c:pt>
                <c:pt idx="838">
                  <c:v>3540.3615422928351</c:v>
                </c:pt>
                <c:pt idx="839">
                  <c:v>-1396.9747937271741</c:v>
                </c:pt>
                <c:pt idx="840">
                  <c:v>-3230.1022259414281</c:v>
                </c:pt>
                <c:pt idx="841">
                  <c:v>-72.386180626877547</c:v>
                </c:pt>
                <c:pt idx="842">
                  <c:v>1803.8298739267859</c:v>
                </c:pt>
                <c:pt idx="843">
                  <c:v>1600.4424414001171</c:v>
                </c:pt>
                <c:pt idx="844">
                  <c:v>1104.7538034733859</c:v>
                </c:pt>
                <c:pt idx="845">
                  <c:v>-1086.3068454584591</c:v>
                </c:pt>
                <c:pt idx="846">
                  <c:v>-2731.1705448314251</c:v>
                </c:pt>
                <c:pt idx="847">
                  <c:v>467.55292949219131</c:v>
                </c:pt>
                <c:pt idx="850">
                  <c:v>1952.869987792832</c:v>
                </c:pt>
                <c:pt idx="851">
                  <c:v>-525.93077163124667</c:v>
                </c:pt>
                <c:pt idx="852">
                  <c:v>-1418.7759017680451</c:v>
                </c:pt>
                <c:pt idx="853">
                  <c:v>1088.9626060837429</c:v>
                </c:pt>
                <c:pt idx="854">
                  <c:v>44.661023418911071</c:v>
                </c:pt>
                <c:pt idx="855">
                  <c:v>-362.09887412027342</c:v>
                </c:pt>
                <c:pt idx="856">
                  <c:v>710.22347643399667</c:v>
                </c:pt>
                <c:pt idx="857">
                  <c:v>-286.96347352458469</c:v>
                </c:pt>
                <c:pt idx="858">
                  <c:v>-1115.218487452142</c:v>
                </c:pt>
                <c:pt idx="859">
                  <c:v>-87.729585233178966</c:v>
                </c:pt>
                <c:pt idx="862">
                  <c:v>-1036.783440965193</c:v>
                </c:pt>
                <c:pt idx="863">
                  <c:v>-146.92221124007881</c:v>
                </c:pt>
                <c:pt idx="864">
                  <c:v>260.72157725293511</c:v>
                </c:pt>
                <c:pt idx="865">
                  <c:v>2716.8013787726618</c:v>
                </c:pt>
                <c:pt idx="866">
                  <c:v>-905.39471839662042</c:v>
                </c:pt>
                <c:pt idx="867">
                  <c:v>-1157.715366190796</c:v>
                </c:pt>
                <c:pt idx="868">
                  <c:v>-135.60847347575771</c:v>
                </c:pt>
                <c:pt idx="869">
                  <c:v>1179.496354619308</c:v>
                </c:pt>
                <c:pt idx="870">
                  <c:v>74.274883833296983</c:v>
                </c:pt>
                <c:pt idx="871">
                  <c:v>-848.86998420978671</c:v>
                </c:pt>
                <c:pt idx="874">
                  <c:v>3413.2536733253978</c:v>
                </c:pt>
                <c:pt idx="875">
                  <c:v>-2038.7063593400801</c:v>
                </c:pt>
                <c:pt idx="876">
                  <c:v>-2753.886794289876</c:v>
                </c:pt>
                <c:pt idx="877">
                  <c:v>-354.77082249722042</c:v>
                </c:pt>
                <c:pt idx="878">
                  <c:v>785.22701323488002</c:v>
                </c:pt>
                <c:pt idx="879">
                  <c:v>764.86784099704516</c:v>
                </c:pt>
                <c:pt idx="880">
                  <c:v>475.88858903996061</c:v>
                </c:pt>
                <c:pt idx="881">
                  <c:v>-258.89658579742928</c:v>
                </c:pt>
                <c:pt idx="882">
                  <c:v>-2026.4021097521461</c:v>
                </c:pt>
                <c:pt idx="883">
                  <c:v>1993.425555079561</c:v>
                </c:pt>
                <c:pt idx="886">
                  <c:v>3616.6451536279901</c:v>
                </c:pt>
                <c:pt idx="887">
                  <c:v>-239.21550292997989</c:v>
                </c:pt>
                <c:pt idx="888">
                  <c:v>-3146.277271223345</c:v>
                </c:pt>
                <c:pt idx="889">
                  <c:v>368.08474812946798</c:v>
                </c:pt>
                <c:pt idx="890">
                  <c:v>271.68304569007557</c:v>
                </c:pt>
                <c:pt idx="891">
                  <c:v>1080.8598097253639</c:v>
                </c:pt>
                <c:pt idx="892">
                  <c:v>1214.712900278553</c:v>
                </c:pt>
                <c:pt idx="893">
                  <c:v>64.189708588576664</c:v>
                </c:pt>
                <c:pt idx="894">
                  <c:v>-2710.0560445871511</c:v>
                </c:pt>
                <c:pt idx="895">
                  <c:v>-520.626547299903</c:v>
                </c:pt>
                <c:pt idx="898">
                  <c:v>-2276.3060045270649</c:v>
                </c:pt>
                <c:pt idx="899">
                  <c:v>612.05406946592063</c:v>
                </c:pt>
                <c:pt idx="900">
                  <c:v>2207.567421781122</c:v>
                </c:pt>
                <c:pt idx="901">
                  <c:v>-2571.0304981080649</c:v>
                </c:pt>
                <c:pt idx="902">
                  <c:v>-166.2895502773388</c:v>
                </c:pt>
                <c:pt idx="903">
                  <c:v>1436.4878627770131</c:v>
                </c:pt>
                <c:pt idx="904">
                  <c:v>-1802.724449420607</c:v>
                </c:pt>
                <c:pt idx="905">
                  <c:v>855.05190908610768</c:v>
                </c:pt>
                <c:pt idx="906">
                  <c:v>2757.048974522243</c:v>
                </c:pt>
                <c:pt idx="907">
                  <c:v>-1051.8597352993011</c:v>
                </c:pt>
                <c:pt idx="910">
                  <c:v>-1388.8114358543521</c:v>
                </c:pt>
                <c:pt idx="911">
                  <c:v>-548.96611306790408</c:v>
                </c:pt>
                <c:pt idx="912">
                  <c:v>-1678.4663791294479</c:v>
                </c:pt>
                <c:pt idx="913">
                  <c:v>761.50085099881289</c:v>
                </c:pt>
                <c:pt idx="914">
                  <c:v>-1356.4730257463391</c:v>
                </c:pt>
                <c:pt idx="915">
                  <c:v>-1083.970648046489</c:v>
                </c:pt>
                <c:pt idx="916">
                  <c:v>-624.57968634685426</c:v>
                </c:pt>
                <c:pt idx="917">
                  <c:v>2333.1274372879898</c:v>
                </c:pt>
                <c:pt idx="918">
                  <c:v>2226.7314005945632</c:v>
                </c:pt>
                <c:pt idx="919">
                  <c:v>1359.907599309742</c:v>
                </c:pt>
                <c:pt idx="923">
                  <c:v>3682.9458171349552</c:v>
                </c:pt>
                <c:pt idx="924">
                  <c:v>-1314.8812890185379</c:v>
                </c:pt>
                <c:pt idx="925">
                  <c:v>-1921.75785648381</c:v>
                </c:pt>
                <c:pt idx="926">
                  <c:v>-467.59758879285113</c:v>
                </c:pt>
                <c:pt idx="927">
                  <c:v>691.16001240957007</c:v>
                </c:pt>
                <c:pt idx="928">
                  <c:v>1044.3832164949399</c:v>
                </c:pt>
                <c:pt idx="929">
                  <c:v>1403.0330110553771</c:v>
                </c:pt>
                <c:pt idx="930">
                  <c:v>279.41463748897559</c:v>
                </c:pt>
                <c:pt idx="931">
                  <c:v>-2026.3342716483489</c:v>
                </c:pt>
                <c:pt idx="932">
                  <c:v>-1370.365688640177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E89-4534-8D23-E37AF4371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70136"/>
        <c:axId val="349770496"/>
      </c:scatterChart>
      <c:valAx>
        <c:axId val="349770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70496"/>
        <c:crosses val="autoZero"/>
        <c:crossBetween val="midCat"/>
      </c:valAx>
      <c:valAx>
        <c:axId val="34977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7013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725443989782185"/>
          <c:y val="0.92979142562993677"/>
          <c:w val="0.31588691570734051"/>
          <c:h val="5.34637321440539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Sheet1!$AQ$3:$AQ$8</c:f>
              <c:strCache>
                <c:ptCount val="6"/>
                <c:pt idx="0">
                  <c:v>0.6</c:v>
                </c:pt>
                <c:pt idx="1">
                  <c:v>0.7</c:v>
                </c:pt>
                <c:pt idx="2">
                  <c:v>0.8</c:v>
                </c:pt>
                <c:pt idx="3">
                  <c:v>0.9</c:v>
                </c:pt>
                <c:pt idx="4">
                  <c:v>1</c:v>
                </c:pt>
                <c:pt idx="5">
                  <c:v>More</c:v>
                </c:pt>
              </c:strCache>
            </c:strRef>
          </c:cat>
          <c:val>
            <c:numRef>
              <c:f>Sheet1!$AR$3:$AR$8</c:f>
              <c:numCache>
                <c:formatCode>General</c:formatCode>
                <c:ptCount val="6"/>
                <c:pt idx="0">
                  <c:v>0</c:v>
                </c:pt>
                <c:pt idx="1">
                  <c:v>11</c:v>
                </c:pt>
                <c:pt idx="2">
                  <c:v>34</c:v>
                </c:pt>
                <c:pt idx="3">
                  <c:v>31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5F-4EE7-B050-A6FDBCED7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5746480"/>
        <c:axId val="305743600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strRef>
              <c:f>Sheet1!$AQ$3:$AQ$8</c:f>
              <c:strCache>
                <c:ptCount val="6"/>
                <c:pt idx="0">
                  <c:v>0.6</c:v>
                </c:pt>
                <c:pt idx="1">
                  <c:v>0.7</c:v>
                </c:pt>
                <c:pt idx="2">
                  <c:v>0.8</c:v>
                </c:pt>
                <c:pt idx="3">
                  <c:v>0.9</c:v>
                </c:pt>
                <c:pt idx="4">
                  <c:v>1</c:v>
                </c:pt>
                <c:pt idx="5">
                  <c:v>More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5F-4EE7-B050-A6FDBCED7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895544"/>
        <c:axId val="304895184"/>
      </c:lineChart>
      <c:catAx>
        <c:axId val="305746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Coefficient of determination (R2)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743600"/>
        <c:crosses val="autoZero"/>
        <c:auto val="1"/>
        <c:lblAlgn val="ctr"/>
        <c:lblOffset val="100"/>
        <c:noMultiLvlLbl val="0"/>
      </c:catAx>
      <c:valAx>
        <c:axId val="3057436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5746480"/>
        <c:crosses val="autoZero"/>
        <c:crossBetween val="between"/>
      </c:valAx>
      <c:valAx>
        <c:axId val="3048951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04895544"/>
        <c:crosses val="max"/>
        <c:crossBetween val="between"/>
      </c:valAx>
      <c:catAx>
        <c:axId val="304895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489518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Sheet1!$AR$35:$AR$40</c:f>
              <c:strCache>
                <c:ptCount val="6"/>
                <c:pt idx="0">
                  <c:v>0.6</c:v>
                </c:pt>
                <c:pt idx="1">
                  <c:v>0.7</c:v>
                </c:pt>
                <c:pt idx="2">
                  <c:v>0.8</c:v>
                </c:pt>
                <c:pt idx="3">
                  <c:v>0.9</c:v>
                </c:pt>
                <c:pt idx="4">
                  <c:v>1</c:v>
                </c:pt>
                <c:pt idx="5">
                  <c:v>More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29-454F-8B97-6BA4E6895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948864"/>
        <c:axId val="575951384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strRef>
              <c:f>Sheet1!$AR$35:$AR$40</c:f>
              <c:strCache>
                <c:ptCount val="6"/>
                <c:pt idx="0">
                  <c:v>0.6</c:v>
                </c:pt>
                <c:pt idx="1">
                  <c:v>0.7</c:v>
                </c:pt>
                <c:pt idx="2">
                  <c:v>0.8</c:v>
                </c:pt>
                <c:pt idx="3">
                  <c:v>0.9</c:v>
                </c:pt>
                <c:pt idx="4">
                  <c:v>1</c:v>
                </c:pt>
                <c:pt idx="5">
                  <c:v>More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29-454F-8B97-6BA4E6895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949584"/>
        <c:axId val="575953904"/>
      </c:lineChart>
      <c:catAx>
        <c:axId val="575948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Coefficient of determination (R2)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5951384"/>
        <c:crosses val="autoZero"/>
        <c:auto val="1"/>
        <c:lblAlgn val="ctr"/>
        <c:lblOffset val="100"/>
        <c:noMultiLvlLbl val="0"/>
      </c:catAx>
      <c:valAx>
        <c:axId val="5759513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5948864"/>
        <c:crosses val="autoZero"/>
        <c:crossBetween val="between"/>
      </c:valAx>
      <c:valAx>
        <c:axId val="5759539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575949584"/>
        <c:crosses val="max"/>
        <c:crossBetween val="between"/>
      </c:valAx>
      <c:catAx>
        <c:axId val="575949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95390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val>
            <c:numRef>
              <c:f>Sheet1!#REF!</c:f>
              <c:numCache>
                <c:formatCode>General</c:formatCode>
                <c:ptCount val="6"/>
                <c:pt idx="0">
                  <c:v>0</c:v>
                </c:pt>
                <c:pt idx="1">
                  <c:v>14</c:v>
                </c:pt>
                <c:pt idx="2">
                  <c:v>28</c:v>
                </c:pt>
                <c:pt idx="3">
                  <c:v>28</c:v>
                </c:pt>
                <c:pt idx="4">
                  <c:v>7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6"/>
                      <c:pt idx="0">
                        <c:v>0.6</c:v>
                      </c:pt>
                      <c:pt idx="1">
                        <c:v>0.7</c:v>
                      </c:pt>
                      <c:pt idx="2">
                        <c:v>0.8</c:v>
                      </c:pt>
                      <c:pt idx="3">
                        <c:v>0.9</c:v>
                      </c:pt>
                      <c:pt idx="4">
                        <c:v>1</c:v>
                      </c:pt>
                      <c:pt idx="5">
                        <c:v>More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909-43E6-A25F-34AD259A9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949224"/>
        <c:axId val="575950304"/>
      </c:barChart>
      <c:lineChart>
        <c:grouping val="standard"/>
        <c:varyColors val="0"/>
        <c:ser>
          <c:idx val="1"/>
          <c:order val="1"/>
          <c:tx>
            <c:v>Cumulative %</c:v>
          </c:tx>
          <c:val>
            <c:numRef>
              <c:f>Sheet1!#REF!</c:f>
              <c:numCache>
                <c:formatCode>0.00%</c:formatCode>
                <c:ptCount val="6"/>
                <c:pt idx="0">
                  <c:v>0</c:v>
                </c:pt>
                <c:pt idx="1">
                  <c:v>0.18181818181818182</c:v>
                </c:pt>
                <c:pt idx="2">
                  <c:v>0.54545454545454541</c:v>
                </c:pt>
                <c:pt idx="3">
                  <c:v>0.90909090909090906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6"/>
                      <c:pt idx="0">
                        <c:v>0.6</c:v>
                      </c:pt>
                      <c:pt idx="1">
                        <c:v>0.7</c:v>
                      </c:pt>
                      <c:pt idx="2">
                        <c:v>0.8</c:v>
                      </c:pt>
                      <c:pt idx="3">
                        <c:v>0.9</c:v>
                      </c:pt>
                      <c:pt idx="4">
                        <c:v>1</c:v>
                      </c:pt>
                      <c:pt idx="5">
                        <c:v>More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909-43E6-A25F-34AD259A9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945264"/>
        <c:axId val="575944544"/>
      </c:lineChart>
      <c:catAx>
        <c:axId val="575949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Coefficient of determination (R2)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5950304"/>
        <c:crosses val="autoZero"/>
        <c:auto val="1"/>
        <c:lblAlgn val="ctr"/>
        <c:lblOffset val="100"/>
        <c:noMultiLvlLbl val="0"/>
      </c:catAx>
      <c:valAx>
        <c:axId val="575950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5949224"/>
        <c:crosses val="autoZero"/>
        <c:crossBetween val="between"/>
      </c:valAx>
      <c:valAx>
        <c:axId val="57594454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575945264"/>
        <c:crosses val="max"/>
        <c:crossBetween val="between"/>
      </c:valAx>
      <c:catAx>
        <c:axId val="575945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94454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Sheet2!$J$1</c:f>
              <c:strCache>
                <c:ptCount val="1"/>
                <c:pt idx="0">
                  <c:v>PC1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Sheet2!$I$2:$I$771</c:f>
              <c:numCache>
                <c:formatCode>General</c:formatCode>
                <c:ptCount val="7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</c:numCache>
            </c:numRef>
          </c:xVal>
          <c:yVal>
            <c:numRef>
              <c:f>Sheet2!$J$2:$J$771</c:f>
              <c:numCache>
                <c:formatCode>0.00</c:formatCode>
                <c:ptCount val="770"/>
                <c:pt idx="0">
                  <c:v>9337.1508823651147</c:v>
                </c:pt>
                <c:pt idx="1">
                  <c:v>5760.8525422413359</c:v>
                </c:pt>
                <c:pt idx="2">
                  <c:v>-5709.5080332521638</c:v>
                </c:pt>
                <c:pt idx="3">
                  <c:v>-5192.5742875782043</c:v>
                </c:pt>
                <c:pt idx="4">
                  <c:v>-6009.8994898134379</c:v>
                </c:pt>
                <c:pt idx="5">
                  <c:v>-2522.5424368177378</c:v>
                </c:pt>
                <c:pt idx="6">
                  <c:v>13406.13244517949</c:v>
                </c:pt>
                <c:pt idx="7">
                  <c:v>8573.571471916357</c:v>
                </c:pt>
                <c:pt idx="8">
                  <c:v>9607.4010524000259</c:v>
                </c:pt>
                <c:pt idx="9">
                  <c:v>-7992.4991412602994</c:v>
                </c:pt>
                <c:pt idx="10">
                  <c:v>-6028.6600681983446</c:v>
                </c:pt>
                <c:pt idx="11">
                  <c:v>12816.88874882148</c:v>
                </c:pt>
                <c:pt idx="12">
                  <c:v>5692.3563551833176</c:v>
                </c:pt>
                <c:pt idx="13">
                  <c:v>-4949.5876111226617</c:v>
                </c:pt>
                <c:pt idx="14">
                  <c:v>-1355.2786021503809</c:v>
                </c:pt>
                <c:pt idx="15">
                  <c:v>-6972.3427249109709</c:v>
                </c:pt>
                <c:pt idx="16">
                  <c:v>10112.181865311361</c:v>
                </c:pt>
                <c:pt idx="17">
                  <c:v>6042.4629839101563</c:v>
                </c:pt>
                <c:pt idx="18">
                  <c:v>6495.5981108472979</c:v>
                </c:pt>
                <c:pt idx="19">
                  <c:v>6431.1710105073798</c:v>
                </c:pt>
                <c:pt idx="20">
                  <c:v>17272.228146695528</c:v>
                </c:pt>
                <c:pt idx="21">
                  <c:v>-5806.9609612845479</c:v>
                </c:pt>
                <c:pt idx="22">
                  <c:v>1927.8924981979801</c:v>
                </c:pt>
                <c:pt idx="23">
                  <c:v>4765.3244263521119</c:v>
                </c:pt>
                <c:pt idx="24">
                  <c:v>2281.7968662618259</c:v>
                </c:pt>
                <c:pt idx="25">
                  <c:v>-5161.8344069904433</c:v>
                </c:pt>
                <c:pt idx="26">
                  <c:v>-4637.8991918498459</c:v>
                </c:pt>
                <c:pt idx="27">
                  <c:v>531.67791882659947</c:v>
                </c:pt>
                <c:pt idx="28">
                  <c:v>-4809.6996360147377</c:v>
                </c:pt>
                <c:pt idx="29">
                  <c:v>-2914.8007525398339</c:v>
                </c:pt>
                <c:pt idx="30">
                  <c:v>-3245.9994028150991</c:v>
                </c:pt>
                <c:pt idx="31">
                  <c:v>14244.42535791509</c:v>
                </c:pt>
                <c:pt idx="32">
                  <c:v>-2938.2935471064552</c:v>
                </c:pt>
                <c:pt idx="33">
                  <c:v>852.96850493773616</c:v>
                </c:pt>
                <c:pt idx="34">
                  <c:v>-645.75250757670142</c:v>
                </c:pt>
                <c:pt idx="35">
                  <c:v>-7944.0396912749529</c:v>
                </c:pt>
                <c:pt idx="36">
                  <c:v>-1909.12602994895</c:v>
                </c:pt>
                <c:pt idx="37">
                  <c:v>1006.783214837724</c:v>
                </c:pt>
                <c:pt idx="38">
                  <c:v>8690.0466565167171</c:v>
                </c:pt>
                <c:pt idx="39">
                  <c:v>996.12704154797291</c:v>
                </c:pt>
                <c:pt idx="40">
                  <c:v>-1082.706033526815</c:v>
                </c:pt>
                <c:pt idx="41">
                  <c:v>5136.8444707902481</c:v>
                </c:pt>
                <c:pt idx="42">
                  <c:v>11274.88872797729</c:v>
                </c:pt>
                <c:pt idx="43">
                  <c:v>-3227.8283723935529</c:v>
                </c:pt>
                <c:pt idx="44">
                  <c:v>-4666.9528964071133</c:v>
                </c:pt>
                <c:pt idx="45">
                  <c:v>-1697.4814097623159</c:v>
                </c:pt>
                <c:pt idx="46">
                  <c:v>4893.4752414190662</c:v>
                </c:pt>
                <c:pt idx="47">
                  <c:v>-3006.3599298881259</c:v>
                </c:pt>
                <c:pt idx="48">
                  <c:v>1260.4951383171219</c:v>
                </c:pt>
                <c:pt idx="49">
                  <c:v>14500.25302491466</c:v>
                </c:pt>
                <c:pt idx="50">
                  <c:v>-6289.4574264714129</c:v>
                </c:pt>
                <c:pt idx="51">
                  <c:v>10011.524873681319</c:v>
                </c:pt>
                <c:pt idx="52">
                  <c:v>9430.874178762504</c:v>
                </c:pt>
                <c:pt idx="53">
                  <c:v>10315.34913327665</c:v>
                </c:pt>
                <c:pt idx="54">
                  <c:v>10260.25466952161</c:v>
                </c:pt>
                <c:pt idx="55">
                  <c:v>10704.65115875107</c:v>
                </c:pt>
                <c:pt idx="56">
                  <c:v>11673.654497915801</c:v>
                </c:pt>
                <c:pt idx="57">
                  <c:v>8310.5242211108762</c:v>
                </c:pt>
                <c:pt idx="58">
                  <c:v>-1740.36232897593</c:v>
                </c:pt>
                <c:pt idx="59">
                  <c:v>-2462.430436462198</c:v>
                </c:pt>
                <c:pt idx="60">
                  <c:v>-4315.7038377479694</c:v>
                </c:pt>
                <c:pt idx="61">
                  <c:v>12050.94108499928</c:v>
                </c:pt>
                <c:pt idx="62">
                  <c:v>-1310.1368106065991</c:v>
                </c:pt>
                <c:pt idx="63">
                  <c:v>-4896.7668753719181</c:v>
                </c:pt>
                <c:pt idx="64">
                  <c:v>9460.7466828080032</c:v>
                </c:pt>
                <c:pt idx="65">
                  <c:v>4306.0339919799944</c:v>
                </c:pt>
                <c:pt idx="66">
                  <c:v>7423.1255269527592</c:v>
                </c:pt>
                <c:pt idx="67">
                  <c:v>-8719.5173158053276</c:v>
                </c:pt>
                <c:pt idx="68">
                  <c:v>3035.8508573855952</c:v>
                </c:pt>
                <c:pt idx="69">
                  <c:v>10104.431684428069</c:v>
                </c:pt>
                <c:pt idx="70">
                  <c:v>-4009.4005615372589</c:v>
                </c:pt>
                <c:pt idx="71">
                  <c:v>-14884.273399662579</c:v>
                </c:pt>
                <c:pt idx="72">
                  <c:v>7328.7255920151547</c:v>
                </c:pt>
                <c:pt idx="73">
                  <c:v>8928.7574930841838</c:v>
                </c:pt>
                <c:pt idx="74">
                  <c:v>8496.3099977746479</c:v>
                </c:pt>
                <c:pt idx="75">
                  <c:v>-5251.4022972468219</c:v>
                </c:pt>
                <c:pt idx="76">
                  <c:v>8593.1531508932185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FD-4182-BC90-46CAB1A47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548672"/>
        <c:axId val="321549032"/>
      </c:scatterChart>
      <c:valAx>
        <c:axId val="32154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549032"/>
        <c:crosses val="autoZero"/>
        <c:crossBetween val="midCat"/>
      </c:valAx>
      <c:valAx>
        <c:axId val="321549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54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Sheet3!$D$2:$D$7</c:f>
              <c:strCache>
                <c:ptCount val="6"/>
                <c:pt idx="0">
                  <c:v>More</c:v>
                </c:pt>
                <c:pt idx="1">
                  <c:v>0.8</c:v>
                </c:pt>
                <c:pt idx="2">
                  <c:v>0.9</c:v>
                </c:pt>
                <c:pt idx="3">
                  <c:v>0.7</c:v>
                </c:pt>
                <c:pt idx="5">
                  <c:v>0.6</c:v>
                </c:pt>
              </c:strCache>
            </c:strRef>
          </c:cat>
          <c:val>
            <c:numRef>
              <c:f>Sheet3!$E$2:$E$7</c:f>
              <c:numCache>
                <c:formatCode>General</c:formatCode>
                <c:ptCount val="6"/>
                <c:pt idx="0">
                  <c:v>#N/A</c:v>
                </c:pt>
                <c:pt idx="1">
                  <c:v>34</c:v>
                </c:pt>
                <c:pt idx="2">
                  <c:v>31</c:v>
                </c:pt>
                <c:pt idx="3">
                  <c:v>11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91-4DBB-9EED-E4AE1F72D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0891824"/>
        <c:axId val="360894704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strRef>
              <c:f>Sheet3!$D$2:$D$7</c:f>
              <c:strCache>
                <c:ptCount val="6"/>
                <c:pt idx="0">
                  <c:v>More</c:v>
                </c:pt>
                <c:pt idx="1">
                  <c:v>0.8</c:v>
                </c:pt>
                <c:pt idx="2">
                  <c:v>0.9</c:v>
                </c:pt>
                <c:pt idx="3">
                  <c:v>0.7</c:v>
                </c:pt>
                <c:pt idx="5">
                  <c:v>0.6</c:v>
                </c:pt>
              </c:strCache>
            </c:strRef>
          </c:cat>
          <c:val>
            <c:numRef>
              <c:f>Sheet3!$F$2:$F$7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91-4DBB-9EED-E4AE1F72D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898064"/>
        <c:axId val="304894104"/>
      </c:lineChart>
      <c:catAx>
        <c:axId val="36089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Coefficient of determination (R2)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0894704"/>
        <c:crosses val="autoZero"/>
        <c:auto val="1"/>
        <c:lblAlgn val="ctr"/>
        <c:lblOffset val="100"/>
        <c:noMultiLvlLbl val="0"/>
      </c:catAx>
      <c:valAx>
        <c:axId val="3608947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0891824"/>
        <c:crosses val="autoZero"/>
        <c:crossBetween val="between"/>
      </c:valAx>
      <c:valAx>
        <c:axId val="3048941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04898064"/>
        <c:crosses val="max"/>
        <c:crossBetween val="between"/>
      </c:valAx>
      <c:catAx>
        <c:axId val="304898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489410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6</xdr:row>
      <xdr:rowOff>101600</xdr:rowOff>
    </xdr:from>
    <xdr:to>
      <xdr:col>10</xdr:col>
      <xdr:colOff>534461</xdr:colOff>
      <xdr:row>10</xdr:row>
      <xdr:rowOff>44450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D1D8C93-42D9-48B0-BF4F-0A0B39B7CC19}"/>
            </a:ext>
          </a:extLst>
        </xdr:cNvPr>
        <xdr:cNvGrpSpPr/>
      </xdr:nvGrpSpPr>
      <xdr:grpSpPr>
        <a:xfrm>
          <a:off x="3419021" y="1208314"/>
          <a:ext cx="3755726" cy="722993"/>
          <a:chOff x="4038600" y="1536701"/>
          <a:chExt cx="4420661" cy="96753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CC53F371-A267-C780-808C-22A0BDE524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103914" y="1536701"/>
            <a:ext cx="4344450" cy="390579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A6A39AF4-15C2-7311-9CF5-13899C9A9C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038600" y="2037444"/>
            <a:ext cx="4420661" cy="466789"/>
          </a:xfrm>
          <a:prstGeom prst="rect">
            <a:avLst/>
          </a:prstGeom>
        </xdr:spPr>
      </xdr:pic>
    </xdr:grpSp>
    <xdr:clientData/>
  </xdr:twoCellAnchor>
  <xdr:twoCellAnchor>
    <xdr:from>
      <xdr:col>31</xdr:col>
      <xdr:colOff>1906602</xdr:colOff>
      <xdr:row>13</xdr:row>
      <xdr:rowOff>35270</xdr:rowOff>
    </xdr:from>
    <xdr:to>
      <xdr:col>39</xdr:col>
      <xdr:colOff>612589</xdr:colOff>
      <xdr:row>34</xdr:row>
      <xdr:rowOff>112058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AF458ED-34CC-4941-A955-BE6D76F2E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10885</xdr:colOff>
      <xdr:row>50</xdr:row>
      <xdr:rowOff>177799</xdr:rowOff>
    </xdr:from>
    <xdr:to>
      <xdr:col>44</xdr:col>
      <xdr:colOff>27214</xdr:colOff>
      <xdr:row>69</xdr:row>
      <xdr:rowOff>136072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EF61701-3FAE-910A-BCA4-63F94B709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109764</xdr:colOff>
      <xdr:row>83</xdr:row>
      <xdr:rowOff>53522</xdr:rowOff>
    </xdr:from>
    <xdr:to>
      <xdr:col>44</xdr:col>
      <xdr:colOff>127000</xdr:colOff>
      <xdr:row>102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6CCAFA3-E400-F816-8DE0-8D6D69A70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464456</xdr:colOff>
      <xdr:row>769</xdr:row>
      <xdr:rowOff>25400</xdr:rowOff>
    </xdr:from>
    <xdr:to>
      <xdr:col>26</xdr:col>
      <xdr:colOff>685799</xdr:colOff>
      <xdr:row>813</xdr:row>
      <xdr:rowOff>88153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CF277E-1AFD-56D2-AB03-C59CBBC9C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484094</xdr:colOff>
      <xdr:row>9</xdr:row>
      <xdr:rowOff>55282</xdr:rowOff>
    </xdr:from>
    <xdr:to>
      <xdr:col>32</xdr:col>
      <xdr:colOff>127000</xdr:colOff>
      <xdr:row>27</xdr:row>
      <xdr:rowOff>82177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473127-5457-A731-948C-58994FFC3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188632</xdr:colOff>
      <xdr:row>41</xdr:row>
      <xdr:rowOff>24653</xdr:rowOff>
    </xdr:from>
    <xdr:to>
      <xdr:col>35</xdr:col>
      <xdr:colOff>597646</xdr:colOff>
      <xdr:row>57</xdr:row>
      <xdr:rowOff>179294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1746C49-453D-3C46-1BA0-D99082D56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24280</xdr:colOff>
      <xdr:row>77</xdr:row>
      <xdr:rowOff>186017</xdr:rowOff>
    </xdr:from>
    <xdr:to>
      <xdr:col>40</xdr:col>
      <xdr:colOff>597647</xdr:colOff>
      <xdr:row>97</xdr:row>
      <xdr:rowOff>22411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C3759BF-8D75-F880-ABF7-513AD42BB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</xdr:colOff>
      <xdr:row>2</xdr:row>
      <xdr:rowOff>9072</xdr:rowOff>
    </xdr:from>
    <xdr:to>
      <xdr:col>27</xdr:col>
      <xdr:colOff>9072</xdr:colOff>
      <xdr:row>15</xdr:row>
      <xdr:rowOff>36285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C351B4-969B-77D1-57D8-5386D65FF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0</xdr:row>
      <xdr:rowOff>177800</xdr:rowOff>
    </xdr:from>
    <xdr:to>
      <xdr:col>15</xdr:col>
      <xdr:colOff>196850</xdr:colOff>
      <xdr:row>18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C78D26-0A7C-6D52-4048-24C36FD4E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34"/>
  <sheetViews>
    <sheetView tabSelected="1" topLeftCell="N61" zoomScale="70" zoomScaleNormal="70" workbookViewId="0">
      <selection activeCell="S83" sqref="S83"/>
    </sheetView>
  </sheetViews>
  <sheetFormatPr defaultRowHeight="14.5" x14ac:dyDescent="0.35"/>
  <cols>
    <col min="1" max="2" width="8.7265625" style="2"/>
    <col min="3" max="3" width="11.36328125" style="4" customWidth="1"/>
    <col min="4" max="5" width="8.81640625" style="4" bestFit="1" customWidth="1"/>
    <col min="8" max="8" width="12" customWidth="1"/>
    <col min="10" max="10" width="10.453125" bestFit="1" customWidth="1"/>
    <col min="13" max="13" width="13.08984375" customWidth="1"/>
    <col min="14" max="14" width="20.81640625" customWidth="1"/>
    <col min="15" max="15" width="18.7265625" customWidth="1"/>
    <col min="16" max="16" width="17" customWidth="1"/>
    <col min="17" max="17" width="28" customWidth="1"/>
    <col min="18" max="18" width="15.90625" customWidth="1"/>
    <col min="19" max="19" width="14.453125" customWidth="1"/>
    <col min="20" max="20" width="14.08984375" customWidth="1"/>
    <col min="21" max="21" width="25.1796875" customWidth="1"/>
    <col min="22" max="22" width="8.7265625" customWidth="1"/>
    <col min="23" max="23" width="15.7265625" customWidth="1"/>
    <col min="24" max="24" width="24.26953125" customWidth="1"/>
    <col min="25" max="25" width="14.54296875" customWidth="1"/>
    <col min="26" max="26" width="13.26953125" customWidth="1"/>
    <col min="27" max="27" width="12.36328125" customWidth="1"/>
    <col min="28" max="28" width="29.453125" customWidth="1"/>
    <col min="29" max="29" width="13.1796875" customWidth="1"/>
    <col min="30" max="30" width="17.08984375" customWidth="1"/>
    <col min="32" max="32" width="12.08984375" customWidth="1"/>
    <col min="33" max="33" width="15.90625" customWidth="1"/>
  </cols>
  <sheetData>
    <row r="1" spans="1:44" ht="15" thickBot="1" x14ac:dyDescent="0.4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2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AB1" s="13" t="s">
        <v>0</v>
      </c>
      <c r="AC1" t="s">
        <v>84</v>
      </c>
      <c r="AD1" t="s">
        <v>86</v>
      </c>
      <c r="AE1" t="s">
        <v>85</v>
      </c>
      <c r="AJ1" t="s">
        <v>113</v>
      </c>
    </row>
    <row r="2" spans="1:44" x14ac:dyDescent="0.35">
      <c r="A2" s="2">
        <v>1</v>
      </c>
      <c r="B2" s="2">
        <v>1</v>
      </c>
      <c r="C2" s="4">
        <v>9337.1508823651147</v>
      </c>
      <c r="D2" s="4">
        <v>-2708.2322340267151</v>
      </c>
      <c r="E2" s="4">
        <v>3645.090064072624</v>
      </c>
      <c r="F2" s="6"/>
      <c r="G2" s="5">
        <v>0.8548</v>
      </c>
      <c r="H2" s="5">
        <v>4773.6000000000004</v>
      </c>
      <c r="I2" s="5">
        <v>2.4346299999999998</v>
      </c>
      <c r="J2" s="5">
        <v>9.4807000000000002E-2</v>
      </c>
      <c r="K2" s="5">
        <v>1.87801</v>
      </c>
      <c r="N2" t="s">
        <v>2</v>
      </c>
      <c r="P2" t="s">
        <v>3</v>
      </c>
      <c r="R2" t="s">
        <v>4</v>
      </c>
      <c r="AB2" s="13">
        <v>1</v>
      </c>
      <c r="AC2" s="5">
        <v>0.8548</v>
      </c>
      <c r="AD2" s="5">
        <v>0.80859999999999999</v>
      </c>
      <c r="AE2" s="5">
        <v>0.91859999999999997</v>
      </c>
      <c r="AG2" t="s">
        <v>87</v>
      </c>
      <c r="AJ2">
        <v>0.6</v>
      </c>
      <c r="AQ2" s="18" t="s">
        <v>113</v>
      </c>
      <c r="AR2" s="18" t="s">
        <v>58</v>
      </c>
    </row>
    <row r="3" spans="1:44" x14ac:dyDescent="0.35">
      <c r="A3" s="2">
        <v>1</v>
      </c>
      <c r="B3" s="2">
        <v>2</v>
      </c>
      <c r="C3" s="4">
        <v>5541.040651756839</v>
      </c>
      <c r="D3" s="4">
        <v>-1815.0199627201141</v>
      </c>
      <c r="E3" s="4">
        <v>-3571.5577666572158</v>
      </c>
      <c r="F3" s="6" t="s">
        <v>3</v>
      </c>
      <c r="G3" s="5"/>
      <c r="H3" s="5"/>
      <c r="I3" s="5"/>
      <c r="J3" s="5"/>
      <c r="K3" s="5"/>
      <c r="M3" s="31" t="s">
        <v>6</v>
      </c>
      <c r="N3" s="5">
        <v>4773.6000000000004</v>
      </c>
      <c r="O3" s="5"/>
      <c r="P3" s="5">
        <v>3939.3</v>
      </c>
      <c r="Q3" s="5"/>
      <c r="R3" s="5">
        <v>1298.7</v>
      </c>
      <c r="AB3">
        <f>AB2+1</f>
        <v>2</v>
      </c>
      <c r="AC3" s="5">
        <v>0.80469999999999997</v>
      </c>
      <c r="AD3" s="5">
        <v>0.75570000000000004</v>
      </c>
      <c r="AE3" s="5">
        <v>0.73939999999999995</v>
      </c>
      <c r="AJ3">
        <v>0.7</v>
      </c>
      <c r="AQ3">
        <v>0.6</v>
      </c>
      <c r="AR3">
        <v>0</v>
      </c>
    </row>
    <row r="4" spans="1:44" x14ac:dyDescent="0.35">
      <c r="A4" s="2">
        <v>1</v>
      </c>
      <c r="B4" s="2">
        <v>3</v>
      </c>
      <c r="C4" s="4">
        <v>-5995.3330345436934</v>
      </c>
      <c r="D4" s="4">
        <v>-2607.3365698073981</v>
      </c>
      <c r="E4" s="4">
        <v>-117.9531568842894</v>
      </c>
      <c r="F4" s="6"/>
      <c r="G4" s="5">
        <v>0.91859999999999997</v>
      </c>
      <c r="H4" s="5">
        <v>3939.3</v>
      </c>
      <c r="I4" s="5">
        <v>0.69988799999999995</v>
      </c>
      <c r="J4" s="5">
        <v>1.76833</v>
      </c>
      <c r="K4" s="5">
        <v>1.2859700000000001</v>
      </c>
      <c r="N4" s="5">
        <v>3206.1</v>
      </c>
      <c r="O4" s="5"/>
      <c r="P4" s="5">
        <v>6351.13</v>
      </c>
      <c r="Q4" s="5"/>
      <c r="R4" s="5">
        <v>1105.3699999999999</v>
      </c>
      <c r="AB4">
        <f t="shared" ref="AB4:AB67" si="0">AB3+1</f>
        <v>3</v>
      </c>
      <c r="AC4" s="5">
        <v>0.80469999999999997</v>
      </c>
      <c r="AD4" s="5">
        <v>0.75570000000000004</v>
      </c>
      <c r="AE4" s="5">
        <v>0.73939999999999995</v>
      </c>
      <c r="AJ4">
        <v>0.8</v>
      </c>
      <c r="AQ4">
        <v>0.7</v>
      </c>
      <c r="AR4">
        <v>11</v>
      </c>
    </row>
    <row r="5" spans="1:44" x14ac:dyDescent="0.35">
      <c r="A5" s="2">
        <v>1</v>
      </c>
      <c r="B5" s="2">
        <v>4</v>
      </c>
      <c r="C5" s="4">
        <v>-1666.619439141637</v>
      </c>
      <c r="D5" s="4">
        <v>1328.564725912968</v>
      </c>
      <c r="E5" s="4">
        <v>-84.147621729705293</v>
      </c>
      <c r="F5" s="6" t="s">
        <v>4</v>
      </c>
      <c r="G5" s="5"/>
      <c r="H5" s="5"/>
      <c r="I5" s="5"/>
      <c r="J5" s="5"/>
      <c r="K5" s="5"/>
      <c r="N5" s="5">
        <v>24017.5</v>
      </c>
      <c r="O5" s="5"/>
      <c r="P5" s="5">
        <v>1803.22</v>
      </c>
      <c r="Q5" s="5"/>
      <c r="R5" s="5">
        <v>1127.83</v>
      </c>
      <c r="AB5">
        <f t="shared" si="0"/>
        <v>4</v>
      </c>
      <c r="AC5" s="5">
        <v>0.67579999999999996</v>
      </c>
      <c r="AD5" s="5">
        <v>0.77229999999999999</v>
      </c>
      <c r="AE5" s="5">
        <v>0.8468</v>
      </c>
      <c r="AJ5">
        <v>0.9</v>
      </c>
      <c r="AQ5">
        <v>0.8</v>
      </c>
      <c r="AR5">
        <v>34</v>
      </c>
    </row>
    <row r="6" spans="1:44" ht="15" thickBot="1" x14ac:dyDescent="0.4">
      <c r="A6" s="2">
        <v>1</v>
      </c>
      <c r="B6" s="2">
        <v>5</v>
      </c>
      <c r="C6" s="4">
        <v>1592.8256833844789</v>
      </c>
      <c r="D6" s="4">
        <v>3389.5600921148321</v>
      </c>
      <c r="E6" s="4">
        <v>-57.262904863770054</v>
      </c>
      <c r="F6" s="5"/>
      <c r="G6" s="5">
        <v>0.80859999999999999</v>
      </c>
      <c r="H6" s="5">
        <v>1298.7</v>
      </c>
      <c r="I6" s="5">
        <v>1.4846699999999999</v>
      </c>
      <c r="J6" s="5">
        <v>-1.6386000000000001</v>
      </c>
      <c r="K6" s="5">
        <v>2.5087299999999999</v>
      </c>
      <c r="N6" s="5">
        <v>9920.93</v>
      </c>
      <c r="O6" s="5"/>
      <c r="P6" s="5">
        <v>1839.14</v>
      </c>
      <c r="Q6" s="5"/>
      <c r="R6" s="5">
        <v>1174.5</v>
      </c>
      <c r="AB6">
        <f t="shared" si="0"/>
        <v>5</v>
      </c>
      <c r="AC6" s="5">
        <v>0.77759999999999996</v>
      </c>
      <c r="AD6" s="5">
        <v>0.80769999999999997</v>
      </c>
      <c r="AE6" s="5">
        <v>0.99039999999999995</v>
      </c>
      <c r="AJ6">
        <v>1</v>
      </c>
      <c r="AQ6">
        <v>0.9</v>
      </c>
      <c r="AR6">
        <v>31</v>
      </c>
    </row>
    <row r="7" spans="1:44" ht="17.5" customHeight="1" thickBot="1" x14ac:dyDescent="0.6">
      <c r="A7" s="2">
        <v>1</v>
      </c>
      <c r="B7" s="2">
        <v>6</v>
      </c>
      <c r="C7" s="4">
        <v>-6108.2136605965752</v>
      </c>
      <c r="D7" s="4">
        <v>78.753828975387208</v>
      </c>
      <c r="E7" s="4">
        <v>2154.343049551288</v>
      </c>
      <c r="N7" s="5">
        <v>3244.17</v>
      </c>
      <c r="O7" s="5"/>
      <c r="P7" s="5">
        <v>1701.68</v>
      </c>
      <c r="Q7" s="5"/>
      <c r="R7" s="5">
        <v>1217.67</v>
      </c>
      <c r="AB7">
        <f t="shared" si="0"/>
        <v>6</v>
      </c>
      <c r="AC7" s="5">
        <v>0.73729999999999996</v>
      </c>
      <c r="AD7" s="5">
        <v>0.85299999999999998</v>
      </c>
      <c r="AE7" s="5">
        <v>0.61499999999999999</v>
      </c>
      <c r="AL7" s="20" t="s">
        <v>2</v>
      </c>
      <c r="AQ7">
        <v>1</v>
      </c>
      <c r="AR7">
        <v>1</v>
      </c>
    </row>
    <row r="8" spans="1:44" ht="15" thickBot="1" x14ac:dyDescent="0.4">
      <c r="A8" s="2">
        <v>1</v>
      </c>
      <c r="B8" s="2">
        <v>7</v>
      </c>
      <c r="C8" s="4">
        <v>-1490.8104000354519</v>
      </c>
      <c r="D8" s="4">
        <v>2072.4045878176989</v>
      </c>
      <c r="E8" s="4">
        <v>1092.586454877377</v>
      </c>
      <c r="N8" s="5" t="s">
        <v>10</v>
      </c>
      <c r="O8" s="5"/>
      <c r="P8" s="5">
        <v>4169.5200000000004</v>
      </c>
      <c r="Q8" s="5"/>
      <c r="R8" s="5">
        <v>3013.82</v>
      </c>
      <c r="AB8">
        <f t="shared" si="0"/>
        <v>7</v>
      </c>
      <c r="AC8" s="5">
        <v>0.74750000000000005</v>
      </c>
      <c r="AD8" s="5">
        <v>0.65669999999999995</v>
      </c>
      <c r="AE8" s="5">
        <v>0.86529999999999996</v>
      </c>
      <c r="AJ8" s="18" t="s">
        <v>60</v>
      </c>
      <c r="AK8" s="18" t="s">
        <v>58</v>
      </c>
      <c r="AL8" s="18" t="s">
        <v>59</v>
      </c>
      <c r="AM8" s="18" t="s">
        <v>60</v>
      </c>
      <c r="AN8" s="18" t="s">
        <v>58</v>
      </c>
      <c r="AO8" s="18" t="s">
        <v>59</v>
      </c>
      <c r="AQ8" s="16" t="s">
        <v>57</v>
      </c>
      <c r="AR8" s="16">
        <v>0</v>
      </c>
    </row>
    <row r="9" spans="1:44" x14ac:dyDescent="0.35">
      <c r="A9" s="2">
        <v>1</v>
      </c>
      <c r="B9" s="2">
        <v>8</v>
      </c>
      <c r="C9" s="4">
        <v>3216.4298431710922</v>
      </c>
      <c r="D9" s="4">
        <v>4280.6349859838874</v>
      </c>
      <c r="E9" s="4">
        <v>-989.64721088209421</v>
      </c>
      <c r="N9" s="5">
        <v>3072.35</v>
      </c>
      <c r="O9" s="5"/>
      <c r="P9" s="5">
        <v>1934.21</v>
      </c>
      <c r="Q9" s="5"/>
      <c r="R9" s="5">
        <v>1338.89</v>
      </c>
      <c r="AB9">
        <f t="shared" si="0"/>
        <v>8</v>
      </c>
      <c r="AC9" s="5">
        <v>0.79610000000000003</v>
      </c>
      <c r="AD9" s="5">
        <v>0.82240000000000002</v>
      </c>
      <c r="AE9" s="5">
        <v>0.76380000000000003</v>
      </c>
      <c r="AJ9">
        <v>0.5</v>
      </c>
      <c r="AK9">
        <v>0</v>
      </c>
      <c r="AL9" s="15">
        <v>0</v>
      </c>
      <c r="AM9">
        <v>0.8</v>
      </c>
      <c r="AN9">
        <v>34</v>
      </c>
      <c r="AO9" s="15">
        <v>0.44155844155844154</v>
      </c>
    </row>
    <row r="10" spans="1:44" x14ac:dyDescent="0.35">
      <c r="A10" s="2">
        <v>1</v>
      </c>
      <c r="B10" s="2">
        <v>9</v>
      </c>
      <c r="C10" s="4">
        <v>-3633.2018091378941</v>
      </c>
      <c r="D10" s="4">
        <v>-1106.185159259551</v>
      </c>
      <c r="E10" s="4">
        <v>-467.31054692214798</v>
      </c>
      <c r="N10" s="5">
        <v>4335.47</v>
      </c>
      <c r="O10" s="5"/>
      <c r="P10" s="5">
        <v>5586.09</v>
      </c>
      <c r="Q10" s="5"/>
      <c r="R10" s="5">
        <v>1259.8</v>
      </c>
      <c r="AB10">
        <f t="shared" si="0"/>
        <v>9</v>
      </c>
      <c r="AC10" s="5">
        <v>0.76719999999999999</v>
      </c>
      <c r="AD10" s="5">
        <v>0.628</v>
      </c>
      <c r="AE10" s="5">
        <v>0.75309999999999999</v>
      </c>
      <c r="AJ10">
        <v>0.6</v>
      </c>
      <c r="AK10">
        <v>0</v>
      </c>
      <c r="AL10" s="15">
        <v>0</v>
      </c>
      <c r="AM10">
        <v>0.9</v>
      </c>
      <c r="AN10">
        <v>31</v>
      </c>
      <c r="AO10" s="15">
        <v>0.8441558441558441</v>
      </c>
    </row>
    <row r="11" spans="1:44" x14ac:dyDescent="0.35">
      <c r="A11" s="2">
        <v>1</v>
      </c>
      <c r="B11" s="2">
        <v>10</v>
      </c>
      <c r="C11" s="4">
        <v>-793.268717222242</v>
      </c>
      <c r="D11" s="4">
        <v>-2913.1442949908451</v>
      </c>
      <c r="E11" s="4">
        <v>-1604.1403605618409</v>
      </c>
      <c r="N11" s="5">
        <v>6279.82</v>
      </c>
      <c r="O11" s="5"/>
      <c r="P11" s="5">
        <v>8132.07</v>
      </c>
      <c r="Q11" s="5"/>
      <c r="R11" s="5">
        <v>1526.37</v>
      </c>
      <c r="AB11">
        <f t="shared" si="0"/>
        <v>10</v>
      </c>
      <c r="AC11" s="5">
        <v>0.80940000000000001</v>
      </c>
      <c r="AD11" s="5">
        <v>0.7228</v>
      </c>
      <c r="AE11" s="5">
        <v>0.85329999999999995</v>
      </c>
      <c r="AJ11">
        <v>0.7</v>
      </c>
      <c r="AK11">
        <v>11</v>
      </c>
      <c r="AL11" s="15">
        <v>0.14285714285714285</v>
      </c>
      <c r="AM11">
        <v>0.7</v>
      </c>
      <c r="AN11">
        <v>11</v>
      </c>
      <c r="AO11" s="15">
        <v>0.98701298701298701</v>
      </c>
    </row>
    <row r="12" spans="1:44" x14ac:dyDescent="0.35">
      <c r="F12" s="3" t="s">
        <v>2</v>
      </c>
      <c r="G12" s="5" t="s">
        <v>5</v>
      </c>
      <c r="H12" s="5" t="s">
        <v>6</v>
      </c>
      <c r="I12" s="5" t="s">
        <v>7</v>
      </c>
      <c r="J12" s="5" t="s">
        <v>8</v>
      </c>
      <c r="K12" s="5" t="s">
        <v>9</v>
      </c>
      <c r="N12" s="5">
        <v>14840.4</v>
      </c>
      <c r="O12" s="5"/>
      <c r="P12" s="5">
        <v>1451.72</v>
      </c>
      <c r="Q12" s="5"/>
      <c r="R12" s="5">
        <v>4119.43</v>
      </c>
      <c r="AB12">
        <f t="shared" si="0"/>
        <v>11</v>
      </c>
      <c r="AC12" s="5">
        <v>0.73350000000000004</v>
      </c>
      <c r="AD12" s="5">
        <v>0.82740000000000002</v>
      </c>
      <c r="AE12" s="5">
        <v>0.96279999999999999</v>
      </c>
      <c r="AJ12">
        <v>0.8</v>
      </c>
      <c r="AK12">
        <v>34</v>
      </c>
      <c r="AL12" s="15">
        <v>0.58441558441558439</v>
      </c>
      <c r="AM12">
        <v>1</v>
      </c>
      <c r="AN12">
        <v>1</v>
      </c>
      <c r="AO12" s="15">
        <v>1</v>
      </c>
    </row>
    <row r="13" spans="1:44" x14ac:dyDescent="0.35">
      <c r="F13" s="6"/>
      <c r="G13" s="5">
        <v>0.80469999999999997</v>
      </c>
      <c r="H13" s="5">
        <v>3206.1</v>
      </c>
      <c r="I13" s="5">
        <v>0.80676300000000001</v>
      </c>
      <c r="J13" s="5">
        <v>-0.72761399999999998</v>
      </c>
      <c r="K13" s="5">
        <v>1.4561200000000001</v>
      </c>
      <c r="L13" s="13">
        <v>1</v>
      </c>
      <c r="N13" s="5">
        <v>5266.43</v>
      </c>
      <c r="O13" s="5"/>
      <c r="P13" s="5">
        <v>3330.57</v>
      </c>
      <c r="Q13" s="5"/>
      <c r="R13" s="5">
        <v>2069.9899999999998</v>
      </c>
      <c r="AB13">
        <f t="shared" si="0"/>
        <v>12</v>
      </c>
      <c r="AC13" s="5">
        <v>0.73350000000000004</v>
      </c>
      <c r="AD13" s="5">
        <v>0.82740000000000002</v>
      </c>
      <c r="AE13" s="5">
        <v>0.96279999999999999</v>
      </c>
      <c r="AJ13">
        <v>0.9</v>
      </c>
      <c r="AK13">
        <v>31</v>
      </c>
      <c r="AL13" s="15">
        <v>0.98701298701298701</v>
      </c>
      <c r="AM13">
        <v>0.5</v>
      </c>
      <c r="AN13">
        <v>0</v>
      </c>
      <c r="AO13" s="15">
        <v>1</v>
      </c>
    </row>
    <row r="14" spans="1:44" x14ac:dyDescent="0.35">
      <c r="A14" s="2">
        <v>2</v>
      </c>
      <c r="B14" s="2">
        <v>1</v>
      </c>
      <c r="C14" s="4">
        <v>5760.8525422413359</v>
      </c>
      <c r="D14" s="4">
        <v>986.59717898156703</v>
      </c>
      <c r="E14" s="4">
        <v>4003.0757807513419</v>
      </c>
      <c r="F14" s="6" t="s">
        <v>3</v>
      </c>
      <c r="G14" s="5"/>
      <c r="H14" s="5"/>
      <c r="I14" s="5"/>
      <c r="J14" s="5"/>
      <c r="K14" s="5"/>
      <c r="N14" s="5">
        <v>8292.58</v>
      </c>
      <c r="O14" s="5"/>
      <c r="P14" s="5">
        <v>9642.64</v>
      </c>
      <c r="Q14" s="5"/>
      <c r="R14" s="5">
        <v>4013.27</v>
      </c>
      <c r="AB14">
        <f t="shared" si="0"/>
        <v>13</v>
      </c>
      <c r="AC14" s="5">
        <v>0.78949999999999998</v>
      </c>
      <c r="AD14" s="5">
        <v>0.90190000000000003</v>
      </c>
      <c r="AE14" s="5">
        <v>0.88790000000000002</v>
      </c>
      <c r="AJ14">
        <v>1</v>
      </c>
      <c r="AK14">
        <v>1</v>
      </c>
      <c r="AL14" s="15">
        <v>1</v>
      </c>
      <c r="AM14">
        <v>0.6</v>
      </c>
      <c r="AN14">
        <v>0</v>
      </c>
      <c r="AO14" s="15">
        <v>1</v>
      </c>
    </row>
    <row r="15" spans="1:44" ht="15" thickBot="1" x14ac:dyDescent="0.4">
      <c r="A15" s="2">
        <v>2</v>
      </c>
      <c r="B15" s="2">
        <v>2</v>
      </c>
      <c r="C15" s="4">
        <v>1666.68885439732</v>
      </c>
      <c r="D15" s="4">
        <v>4607.4604206122849</v>
      </c>
      <c r="E15" s="4">
        <v>-1390.3827814728861</v>
      </c>
      <c r="F15" s="6"/>
      <c r="G15" s="5">
        <v>0.73939999999999995</v>
      </c>
      <c r="H15" s="5">
        <v>6351.13</v>
      </c>
      <c r="I15" s="5">
        <v>1.34745</v>
      </c>
      <c r="J15" s="5">
        <v>0.97918300000000003</v>
      </c>
      <c r="K15" s="5">
        <v>0.68603400000000003</v>
      </c>
      <c r="L15">
        <f>H13/H15</f>
        <v>0.50480780585502105</v>
      </c>
      <c r="N15" s="11">
        <v>3940.73</v>
      </c>
      <c r="O15" s="11"/>
      <c r="P15" s="11">
        <v>1301.93</v>
      </c>
      <c r="Q15" s="9"/>
      <c r="R15" s="9"/>
      <c r="AB15">
        <f t="shared" si="0"/>
        <v>14</v>
      </c>
      <c r="AC15" s="11">
        <v>0.74180000000000001</v>
      </c>
      <c r="AD15" s="5">
        <v>0.80630000000000002</v>
      </c>
      <c r="AE15" s="11">
        <v>0.96540000000000004</v>
      </c>
      <c r="AJ15" s="16" t="s">
        <v>57</v>
      </c>
      <c r="AK15" s="16">
        <v>0</v>
      </c>
      <c r="AL15" s="17">
        <v>1</v>
      </c>
      <c r="AM15" s="16" t="s">
        <v>57</v>
      </c>
      <c r="AN15" s="16">
        <v>0</v>
      </c>
      <c r="AO15" s="17">
        <v>1</v>
      </c>
    </row>
    <row r="16" spans="1:44" ht="15" thickBot="1" x14ac:dyDescent="0.4">
      <c r="A16" s="2">
        <v>2</v>
      </c>
      <c r="B16" s="2">
        <v>3</v>
      </c>
      <c r="C16" s="4">
        <v>121.45008851114309</v>
      </c>
      <c r="D16" s="4">
        <v>-481.74581227036288</v>
      </c>
      <c r="E16" s="4">
        <v>-1420.434691679844</v>
      </c>
      <c r="F16" s="6" t="s">
        <v>4</v>
      </c>
      <c r="G16" s="5"/>
      <c r="H16" s="5"/>
      <c r="I16" s="5"/>
      <c r="J16" s="5"/>
      <c r="K16" s="5"/>
      <c r="N16" s="11">
        <v>5575.79</v>
      </c>
      <c r="O16" s="11"/>
      <c r="P16" s="11">
        <v>3056.89</v>
      </c>
      <c r="Q16" s="9"/>
      <c r="R16" s="11">
        <v>848.476</v>
      </c>
      <c r="AB16">
        <f t="shared" si="0"/>
        <v>15</v>
      </c>
      <c r="AC16" s="11">
        <v>0.78979999999999995</v>
      </c>
      <c r="AD16" s="11">
        <v>0.76859999999999995</v>
      </c>
      <c r="AE16" s="11">
        <v>0.94950000000000001</v>
      </c>
    </row>
    <row r="17" spans="1:44" x14ac:dyDescent="0.35">
      <c r="A17" s="2">
        <v>2</v>
      </c>
      <c r="B17" s="2">
        <v>4</v>
      </c>
      <c r="C17" s="4">
        <v>-1816.636282463146</v>
      </c>
      <c r="D17" s="4">
        <v>-373.79205531886902</v>
      </c>
      <c r="E17" s="4">
        <v>-219.08394239867661</v>
      </c>
      <c r="F17" s="5"/>
      <c r="G17" s="5">
        <v>0.75570000000000004</v>
      </c>
      <c r="H17" s="5">
        <v>1105.3699999999999</v>
      </c>
      <c r="I17" s="5">
        <v>1.7681100000000001</v>
      </c>
      <c r="J17" s="5">
        <v>-1.4036200000000001</v>
      </c>
      <c r="K17" s="5">
        <v>2.7066699999999999</v>
      </c>
      <c r="L17">
        <f>H13/H17</f>
        <v>2.9004767634366777</v>
      </c>
      <c r="N17" s="11">
        <v>4792.63</v>
      </c>
      <c r="O17" s="11"/>
      <c r="P17" s="11">
        <v>1320.09</v>
      </c>
      <c r="Q17" s="9"/>
      <c r="R17" s="11">
        <v>6490.29</v>
      </c>
      <c r="AB17">
        <f t="shared" si="0"/>
        <v>16</v>
      </c>
      <c r="AC17" s="11">
        <v>0.69630000000000003</v>
      </c>
      <c r="AD17" s="11">
        <v>0.84230000000000005</v>
      </c>
      <c r="AE17" s="11">
        <v>0.92220000000000002</v>
      </c>
      <c r="AQ17" s="18"/>
      <c r="AR17" s="18"/>
    </row>
    <row r="18" spans="1:44" x14ac:dyDescent="0.35">
      <c r="A18" s="2">
        <v>2</v>
      </c>
      <c r="B18" s="2">
        <v>5</v>
      </c>
      <c r="C18" s="4">
        <v>-4171.4160399100947</v>
      </c>
      <c r="D18" s="4">
        <v>3271.8343770561419</v>
      </c>
      <c r="E18" s="4">
        <v>853.60614690784905</v>
      </c>
      <c r="N18" s="11">
        <v>5746.19</v>
      </c>
      <c r="O18" s="11"/>
      <c r="P18" s="11">
        <v>1238.9100000000001</v>
      </c>
      <c r="Q18" s="9"/>
      <c r="R18" s="11">
        <v>946.16099999999994</v>
      </c>
      <c r="AB18">
        <f t="shared" si="0"/>
        <v>17</v>
      </c>
      <c r="AC18" s="11">
        <v>0.76739999999999997</v>
      </c>
      <c r="AD18" s="11">
        <v>0.82440000000000002</v>
      </c>
      <c r="AE18" s="11">
        <v>0.89539999999999997</v>
      </c>
    </row>
    <row r="19" spans="1:44" x14ac:dyDescent="0.35">
      <c r="A19" s="2">
        <v>2</v>
      </c>
      <c r="B19" s="2">
        <v>6</v>
      </c>
      <c r="C19" s="4">
        <v>-2962.967741328891</v>
      </c>
      <c r="D19" s="4">
        <v>340.77476485967372</v>
      </c>
      <c r="E19" s="4">
        <v>949.38061589431436</v>
      </c>
      <c r="N19" s="11">
        <v>3704.72</v>
      </c>
      <c r="O19" s="11"/>
      <c r="P19" s="11">
        <v>1291.46</v>
      </c>
      <c r="Q19" s="9"/>
      <c r="R19" s="11">
        <v>1193.53</v>
      </c>
      <c r="AB19">
        <f t="shared" si="0"/>
        <v>18</v>
      </c>
      <c r="AC19" s="11">
        <v>0.77200000000000002</v>
      </c>
      <c r="AD19" s="11">
        <v>0.89970000000000006</v>
      </c>
      <c r="AE19" s="11">
        <v>0.99139999999999995</v>
      </c>
    </row>
    <row r="20" spans="1:44" x14ac:dyDescent="0.35">
      <c r="A20" s="2">
        <v>2</v>
      </c>
      <c r="B20" s="2">
        <v>7</v>
      </c>
      <c r="C20" s="4">
        <v>-1155.514934714904</v>
      </c>
      <c r="D20" s="4">
        <v>-3788.623066726891</v>
      </c>
      <c r="E20" s="4">
        <v>1150.3829912021561</v>
      </c>
      <c r="N20" s="11">
        <v>5346.65</v>
      </c>
      <c r="O20" s="11"/>
      <c r="P20" s="11">
        <v>2785.01</v>
      </c>
      <c r="Q20" s="9"/>
      <c r="R20" s="11">
        <v>1930</v>
      </c>
      <c r="AB20">
        <f t="shared" si="0"/>
        <v>19</v>
      </c>
      <c r="AC20" s="11">
        <v>0.85950000000000004</v>
      </c>
      <c r="AD20" s="11">
        <v>0.66039999999999999</v>
      </c>
      <c r="AE20" s="11">
        <v>0.96489999999999998</v>
      </c>
    </row>
    <row r="21" spans="1:44" x14ac:dyDescent="0.35">
      <c r="A21" s="2">
        <v>2</v>
      </c>
      <c r="B21" s="2">
        <v>8</v>
      </c>
      <c r="C21" s="4">
        <v>-1839.708077035009</v>
      </c>
      <c r="D21" s="4">
        <v>-1066.412553551889</v>
      </c>
      <c r="E21" s="4">
        <v>727.24689357636919</v>
      </c>
      <c r="N21" s="11">
        <v>5456.37</v>
      </c>
      <c r="O21" s="11"/>
      <c r="P21" s="11">
        <v>4611.8100000000004</v>
      </c>
      <c r="Q21" s="9"/>
      <c r="R21" s="11">
        <v>6251.29</v>
      </c>
      <c r="AB21">
        <f t="shared" si="0"/>
        <v>20</v>
      </c>
      <c r="AC21" s="11">
        <v>0.69189999999999996</v>
      </c>
      <c r="AD21" s="11">
        <v>0.70950000000000002</v>
      </c>
      <c r="AE21" s="11">
        <v>0.95409999999999995</v>
      </c>
    </row>
    <row r="22" spans="1:44" x14ac:dyDescent="0.35">
      <c r="A22" s="2">
        <v>2</v>
      </c>
      <c r="B22" s="2">
        <v>9</v>
      </c>
      <c r="C22" s="4">
        <v>1576.2943315350201</v>
      </c>
      <c r="D22" s="4">
        <v>-3372.1084851036221</v>
      </c>
      <c r="E22" s="4">
        <v>-963.95980992539251</v>
      </c>
      <c r="F22" s="3" t="s">
        <v>2</v>
      </c>
      <c r="G22" s="5" t="s">
        <v>5</v>
      </c>
      <c r="H22" s="5" t="s">
        <v>6</v>
      </c>
      <c r="I22" s="5" t="s">
        <v>7</v>
      </c>
      <c r="J22" s="5" t="s">
        <v>8</v>
      </c>
      <c r="K22" s="5" t="s">
        <v>9</v>
      </c>
      <c r="N22" s="11">
        <v>20350.3</v>
      </c>
      <c r="O22" s="11"/>
      <c r="P22" s="11">
        <v>15407.1</v>
      </c>
      <c r="Q22" s="9"/>
      <c r="R22" s="11" t="s">
        <v>12</v>
      </c>
      <c r="AB22">
        <f t="shared" si="0"/>
        <v>21</v>
      </c>
      <c r="AC22" s="11">
        <v>0.60070000000000001</v>
      </c>
      <c r="AD22" s="11">
        <v>0.7298</v>
      </c>
      <c r="AE22" s="11">
        <v>0.76770000000000005</v>
      </c>
    </row>
    <row r="23" spans="1:44" ht="15" thickBot="1" x14ac:dyDescent="0.4">
      <c r="A23" s="2">
        <v>2</v>
      </c>
      <c r="B23" s="2">
        <v>10</v>
      </c>
      <c r="C23" s="4">
        <v>2820.9572587677239</v>
      </c>
      <c r="D23" s="4">
        <v>-123.9847685379857</v>
      </c>
      <c r="E23" s="4">
        <v>-3689.8312028551181</v>
      </c>
      <c r="F23" s="6"/>
      <c r="G23" s="5">
        <v>0.80469999999999997</v>
      </c>
      <c r="H23" s="5">
        <v>3206.1</v>
      </c>
      <c r="I23" s="5">
        <v>0.80676300000000001</v>
      </c>
      <c r="J23" s="5">
        <v>-0.72761399999999998</v>
      </c>
      <c r="K23" s="5">
        <v>1.4561200000000001</v>
      </c>
      <c r="N23" s="11">
        <v>18267.900000000001</v>
      </c>
      <c r="O23" s="11"/>
      <c r="P23" s="11">
        <v>4045.98</v>
      </c>
      <c r="Q23" s="9"/>
      <c r="R23" s="11">
        <v>1631</v>
      </c>
      <c r="AB23">
        <f t="shared" si="0"/>
        <v>22</v>
      </c>
      <c r="AC23" s="11">
        <v>0.79669999999999996</v>
      </c>
      <c r="AD23" s="11">
        <v>0.75060000000000004</v>
      </c>
      <c r="AE23" s="11">
        <v>0.96099999999999997</v>
      </c>
      <c r="AQ23" s="16"/>
      <c r="AR23" s="16"/>
    </row>
    <row r="24" spans="1:44" x14ac:dyDescent="0.35">
      <c r="F24" s="6" t="s">
        <v>3</v>
      </c>
      <c r="G24" s="5"/>
      <c r="H24" s="5"/>
      <c r="I24" s="5"/>
      <c r="J24" s="5"/>
      <c r="K24" s="5"/>
      <c r="N24" s="11">
        <v>2239.27</v>
      </c>
      <c r="O24" s="11"/>
      <c r="P24" s="11">
        <v>1175.33</v>
      </c>
      <c r="Q24" s="9"/>
      <c r="R24" s="11">
        <v>2714.04</v>
      </c>
      <c r="AB24">
        <f t="shared" si="0"/>
        <v>23</v>
      </c>
      <c r="AC24" s="11">
        <v>0.75390000000000001</v>
      </c>
      <c r="AD24" s="11">
        <v>0.79859999999999998</v>
      </c>
      <c r="AE24" s="11">
        <v>0.94550000000000001</v>
      </c>
    </row>
    <row r="25" spans="1:44" ht="15" thickBot="1" x14ac:dyDescent="0.4">
      <c r="F25" s="6"/>
      <c r="G25" s="5">
        <v>0.73939999999999995</v>
      </c>
      <c r="H25" s="5">
        <v>6351.13</v>
      </c>
      <c r="I25" s="5">
        <v>1.34745</v>
      </c>
      <c r="J25" s="5">
        <v>0.97918300000000003</v>
      </c>
      <c r="K25" s="5">
        <v>0.68603400000000003</v>
      </c>
      <c r="L25">
        <f>I23/I25</f>
        <v>0.59873316264054322</v>
      </c>
      <c r="N25" s="11">
        <v>10876.8</v>
      </c>
      <c r="O25" s="11"/>
      <c r="P25" s="11">
        <v>915.41300000000001</v>
      </c>
      <c r="Q25" s="9"/>
      <c r="R25" s="11">
        <v>826.62800000000004</v>
      </c>
      <c r="AB25">
        <f t="shared" si="0"/>
        <v>24</v>
      </c>
      <c r="AC25" s="11">
        <v>0.81710000000000005</v>
      </c>
      <c r="AD25" s="11">
        <v>0.68830000000000002</v>
      </c>
      <c r="AE25" s="11">
        <v>0.80740000000000001</v>
      </c>
    </row>
    <row r="26" spans="1:44" x14ac:dyDescent="0.35">
      <c r="F26" s="6" t="s">
        <v>4</v>
      </c>
      <c r="G26" s="5"/>
      <c r="H26" s="5"/>
      <c r="I26" s="5"/>
      <c r="J26" s="5"/>
      <c r="K26" s="5"/>
      <c r="N26" s="11">
        <v>4372.3100000000004</v>
      </c>
      <c r="O26" s="11"/>
      <c r="P26" s="11">
        <v>2216.85</v>
      </c>
      <c r="Q26" s="9"/>
      <c r="R26" s="9"/>
      <c r="AB26">
        <f t="shared" si="0"/>
        <v>25</v>
      </c>
      <c r="AC26" s="11">
        <v>0.75639999999999996</v>
      </c>
      <c r="AD26" s="11">
        <v>0.97840000000000005</v>
      </c>
      <c r="AE26" s="11">
        <v>0.94269999999999998</v>
      </c>
      <c r="AG26" s="18" t="s">
        <v>58</v>
      </c>
      <c r="AH26" s="18" t="s">
        <v>59</v>
      </c>
      <c r="AI26" s="18" t="s">
        <v>113</v>
      </c>
      <c r="AJ26" s="18" t="s">
        <v>58</v>
      </c>
      <c r="AK26" s="18" t="s">
        <v>59</v>
      </c>
    </row>
    <row r="27" spans="1:44" x14ac:dyDescent="0.35">
      <c r="A27" s="2">
        <v>3</v>
      </c>
      <c r="B27" s="2">
        <v>1</v>
      </c>
      <c r="C27" s="4">
        <v>-5709.5080332521638</v>
      </c>
      <c r="D27" s="4">
        <v>8796.0542113208921</v>
      </c>
      <c r="E27" s="4">
        <v>-3497.069715681771</v>
      </c>
      <c r="F27" s="5"/>
      <c r="G27" s="5">
        <v>0.75570000000000004</v>
      </c>
      <c r="H27" s="5">
        <v>1105.3699999999999</v>
      </c>
      <c r="I27" s="5">
        <v>1.7681100000000001</v>
      </c>
      <c r="J27" s="5">
        <v>-1.4036200000000001</v>
      </c>
      <c r="K27" s="5">
        <v>2.7066699999999999</v>
      </c>
      <c r="L27">
        <f>I23/I27</f>
        <v>0.45628552522184707</v>
      </c>
      <c r="N27" s="11">
        <v>8503.84</v>
      </c>
      <c r="O27" s="11"/>
      <c r="P27" s="11">
        <v>1893.96</v>
      </c>
      <c r="Q27" s="9"/>
      <c r="R27" s="5" t="s">
        <v>14</v>
      </c>
      <c r="AB27">
        <f t="shared" si="0"/>
        <v>26</v>
      </c>
      <c r="AC27" s="11">
        <v>0.7389</v>
      </c>
      <c r="AD27" s="9">
        <v>0.68899999999999995</v>
      </c>
      <c r="AE27" s="11">
        <v>0.96689999999999998</v>
      </c>
      <c r="AG27">
        <v>0</v>
      </c>
      <c r="AI27" t="s">
        <v>57</v>
      </c>
      <c r="AJ27" t="e">
        <v>#N/A</v>
      </c>
    </row>
    <row r="28" spans="1:44" x14ac:dyDescent="0.35">
      <c r="A28" s="2">
        <v>3</v>
      </c>
      <c r="B28" s="2">
        <v>2</v>
      </c>
      <c r="C28" s="4">
        <v>530.07452323435552</v>
      </c>
      <c r="D28" s="4">
        <v>3374.4605755265411</v>
      </c>
      <c r="E28" s="4">
        <v>4457.235193505524</v>
      </c>
      <c r="N28" s="11">
        <v>5538.44</v>
      </c>
      <c r="O28" s="11"/>
      <c r="P28" s="11">
        <v>768.97400000000005</v>
      </c>
      <c r="Q28" s="9"/>
      <c r="R28" s="5" t="s">
        <v>15</v>
      </c>
      <c r="AB28">
        <f t="shared" si="0"/>
        <v>27</v>
      </c>
      <c r="AC28" s="11">
        <v>0.68410000000000004</v>
      </c>
      <c r="AD28" s="5">
        <v>0.91539999999999999</v>
      </c>
      <c r="AE28" s="11">
        <v>0.98980000000000001</v>
      </c>
      <c r="AG28">
        <v>11</v>
      </c>
      <c r="AI28">
        <v>0.8</v>
      </c>
      <c r="AJ28">
        <v>34</v>
      </c>
    </row>
    <row r="29" spans="1:44" x14ac:dyDescent="0.35">
      <c r="A29" s="2">
        <v>3</v>
      </c>
      <c r="B29" s="2">
        <v>3</v>
      </c>
      <c r="C29" s="4">
        <v>317.8524644972145</v>
      </c>
      <c r="D29" s="4">
        <v>-2252.035742724619</v>
      </c>
      <c r="E29" s="4">
        <v>-407.91951790360019</v>
      </c>
      <c r="N29" s="11">
        <v>4109.24</v>
      </c>
      <c r="O29" s="11"/>
      <c r="P29" s="11">
        <v>1867.99</v>
      </c>
      <c r="Q29" s="9"/>
      <c r="R29" s="5">
        <v>2242.4499999999998</v>
      </c>
      <c r="AB29">
        <f t="shared" si="0"/>
        <v>28</v>
      </c>
      <c r="AC29" s="11">
        <v>0.70679999999999998</v>
      </c>
      <c r="AD29" s="5">
        <v>0.90490000000000004</v>
      </c>
      <c r="AE29" s="11">
        <v>0.98809999999999998</v>
      </c>
      <c r="AG29">
        <v>34</v>
      </c>
      <c r="AI29">
        <v>0.9</v>
      </c>
      <c r="AJ29">
        <v>31</v>
      </c>
    </row>
    <row r="30" spans="1:44" x14ac:dyDescent="0.35">
      <c r="A30" s="2">
        <v>3</v>
      </c>
      <c r="B30" s="2">
        <v>4</v>
      </c>
      <c r="C30" s="4">
        <v>6115.9852297943808</v>
      </c>
      <c r="D30" s="4">
        <v>76.685745707616022</v>
      </c>
      <c r="E30" s="4">
        <v>-1581.030072416102</v>
      </c>
      <c r="N30" s="11">
        <v>8918.4500000000007</v>
      </c>
      <c r="O30" s="11"/>
      <c r="P30" s="11">
        <v>874.15899999999999</v>
      </c>
      <c r="Q30" s="9"/>
      <c r="R30" s="5" t="s">
        <v>16</v>
      </c>
      <c r="AB30">
        <f t="shared" si="0"/>
        <v>29</v>
      </c>
      <c r="AC30" s="11">
        <v>0.77390000000000003</v>
      </c>
      <c r="AD30" s="5">
        <v>0.88080000000000003</v>
      </c>
      <c r="AE30" s="11">
        <v>0.92330000000000001</v>
      </c>
      <c r="AG30">
        <v>31</v>
      </c>
      <c r="AI30">
        <v>0.7</v>
      </c>
      <c r="AJ30">
        <v>11</v>
      </c>
    </row>
    <row r="31" spans="1:44" x14ac:dyDescent="0.35">
      <c r="A31" s="2">
        <v>3</v>
      </c>
      <c r="B31" s="2">
        <v>5</v>
      </c>
      <c r="C31" s="4">
        <v>7229.6343361661711</v>
      </c>
      <c r="D31" s="4">
        <v>561.78271989139319</v>
      </c>
      <c r="E31" s="4">
        <v>-1578.3795370804801</v>
      </c>
      <c r="N31" s="11">
        <v>3107.9</v>
      </c>
      <c r="O31" s="11"/>
      <c r="P31" s="11">
        <v>1760.5</v>
      </c>
      <c r="Q31" s="9"/>
      <c r="R31" s="5">
        <v>1635.25</v>
      </c>
      <c r="AB31">
        <f t="shared" si="0"/>
        <v>30</v>
      </c>
      <c r="AC31" s="11">
        <v>0.89139999999999997</v>
      </c>
      <c r="AD31" s="5">
        <v>0.76090000000000002</v>
      </c>
      <c r="AE31" s="11">
        <v>0.95899999999999996</v>
      </c>
      <c r="AG31">
        <v>1</v>
      </c>
      <c r="AJ31">
        <v>1</v>
      </c>
    </row>
    <row r="32" spans="1:44" ht="15" thickBot="1" x14ac:dyDescent="0.4">
      <c r="A32" s="2">
        <v>3</v>
      </c>
      <c r="B32" s="2">
        <v>6</v>
      </c>
      <c r="C32" s="4">
        <v>-613.48491649645075</v>
      </c>
      <c r="D32" s="4">
        <v>-2860.071943799474</v>
      </c>
      <c r="E32" s="4">
        <v>-1549.083335188604</v>
      </c>
      <c r="F32" s="3" t="s">
        <v>2</v>
      </c>
      <c r="G32" s="5" t="s">
        <v>5</v>
      </c>
      <c r="H32" s="5" t="s">
        <v>6</v>
      </c>
      <c r="I32" s="5" t="s">
        <v>7</v>
      </c>
      <c r="J32" s="5" t="s">
        <v>8</v>
      </c>
      <c r="K32" s="5" t="s">
        <v>9</v>
      </c>
      <c r="N32" s="11" t="s">
        <v>18</v>
      </c>
      <c r="O32" s="11"/>
      <c r="P32" s="11">
        <v>7719.54</v>
      </c>
      <c r="Q32" s="9"/>
      <c r="R32" s="5">
        <v>10567</v>
      </c>
      <c r="AB32">
        <f t="shared" si="0"/>
        <v>31</v>
      </c>
      <c r="AC32" s="11">
        <v>0.68300000000000005</v>
      </c>
      <c r="AD32" s="5">
        <v>0.68869999999999998</v>
      </c>
      <c r="AE32" s="11">
        <v>0.97330000000000005</v>
      </c>
      <c r="AG32" s="16" t="e">
        <v>#N/A</v>
      </c>
      <c r="AH32" s="16"/>
      <c r="AI32" s="16">
        <v>0.6</v>
      </c>
      <c r="AJ32" s="16">
        <v>0</v>
      </c>
      <c r="AK32" s="16"/>
    </row>
    <row r="33" spans="1:44" ht="15" thickBot="1" x14ac:dyDescent="0.4">
      <c r="A33" s="2">
        <v>3</v>
      </c>
      <c r="B33" s="2">
        <v>7</v>
      </c>
      <c r="C33" s="4">
        <v>-5956.7203902625142</v>
      </c>
      <c r="D33" s="4">
        <v>-5289.3751229855343</v>
      </c>
      <c r="E33" s="4">
        <v>-5.1681233867128222</v>
      </c>
      <c r="F33" s="6"/>
      <c r="G33" s="5">
        <v>0.67579999999999996</v>
      </c>
      <c r="H33" s="5">
        <v>24017.5</v>
      </c>
      <c r="I33" s="5">
        <v>1.81789</v>
      </c>
      <c r="J33" s="5">
        <v>6.7237599999999995E-2</v>
      </c>
      <c r="K33" s="5">
        <v>2.3278799999999999</v>
      </c>
      <c r="L33">
        <f>H33/H35</f>
        <v>13.319228934905336</v>
      </c>
      <c r="N33" s="11">
        <v>2788.73</v>
      </c>
      <c r="O33" s="11"/>
      <c r="P33" s="11" t="s">
        <v>19</v>
      </c>
      <c r="Q33" s="9"/>
      <c r="R33" s="5">
        <v>651.68899999999996</v>
      </c>
      <c r="AB33">
        <f t="shared" si="0"/>
        <v>32</v>
      </c>
      <c r="AC33" s="11">
        <v>0.83279999999999998</v>
      </c>
      <c r="AD33" s="5">
        <v>0.92649999999999999</v>
      </c>
      <c r="AE33" s="11">
        <v>0.70730000000000004</v>
      </c>
    </row>
    <row r="34" spans="1:44" x14ac:dyDescent="0.35">
      <c r="A34" s="2">
        <v>3</v>
      </c>
      <c r="B34" s="2">
        <v>8</v>
      </c>
      <c r="C34" s="4">
        <v>946.46311951470091</v>
      </c>
      <c r="D34" s="4">
        <v>-1979.591505258004</v>
      </c>
      <c r="E34" s="4">
        <v>-1190.775484642754</v>
      </c>
      <c r="F34" s="6" t="s">
        <v>3</v>
      </c>
      <c r="G34" s="5"/>
      <c r="H34" s="5"/>
      <c r="I34" s="5"/>
      <c r="J34" s="5"/>
      <c r="K34" s="5"/>
      <c r="N34" s="11">
        <v>1902.95</v>
      </c>
      <c r="O34" s="11"/>
      <c r="P34" s="11">
        <v>3.0055000000000001</v>
      </c>
      <c r="Q34" s="9"/>
      <c r="R34" s="5">
        <v>692.65</v>
      </c>
      <c r="AB34">
        <f t="shared" si="0"/>
        <v>33</v>
      </c>
      <c r="AC34" s="11">
        <v>0.80020000000000002</v>
      </c>
      <c r="AD34" s="5">
        <v>0.7208</v>
      </c>
      <c r="AE34" s="11">
        <v>0.85750000000000004</v>
      </c>
      <c r="AR34" s="18" t="s">
        <v>113</v>
      </c>
    </row>
    <row r="35" spans="1:44" x14ac:dyDescent="0.35">
      <c r="A35" s="2">
        <v>3</v>
      </c>
      <c r="B35" s="2">
        <v>9</v>
      </c>
      <c r="C35" s="4">
        <v>-3469.1048871767421</v>
      </c>
      <c r="D35" s="4">
        <v>-3308.0482714058562</v>
      </c>
      <c r="E35" s="4">
        <v>1037.6511140290449</v>
      </c>
      <c r="F35" s="6"/>
      <c r="G35" s="5" t="s">
        <v>111</v>
      </c>
      <c r="H35" s="5">
        <v>1803.22</v>
      </c>
      <c r="I35" s="5">
        <v>1.7449399999999999</v>
      </c>
      <c r="J35" s="5">
        <v>6.7237599999999995E-2</v>
      </c>
      <c r="K35" s="5">
        <v>2.3278799999999999</v>
      </c>
      <c r="N35" s="11">
        <v>28806.6</v>
      </c>
      <c r="O35" s="11"/>
      <c r="P35" s="11">
        <v>1809.73</v>
      </c>
      <c r="Q35" s="9"/>
      <c r="R35" s="5">
        <v>835.822</v>
      </c>
      <c r="AB35">
        <f t="shared" si="0"/>
        <v>34</v>
      </c>
      <c r="AC35" s="11">
        <v>0.66220000000000001</v>
      </c>
      <c r="AD35" s="5">
        <v>0.78410000000000002</v>
      </c>
      <c r="AE35" s="11">
        <v>0.92830000000000001</v>
      </c>
      <c r="AR35">
        <v>0.6</v>
      </c>
    </row>
    <row r="36" spans="1:44" x14ac:dyDescent="0.35">
      <c r="A36" s="2">
        <v>3</v>
      </c>
      <c r="B36" s="2">
        <v>10</v>
      </c>
      <c r="C36" s="4">
        <v>608.8085539802471</v>
      </c>
      <c r="D36" s="4">
        <v>2880.1393337272889</v>
      </c>
      <c r="E36" s="4">
        <v>4314.5394787657424</v>
      </c>
      <c r="F36" s="6" t="s">
        <v>4</v>
      </c>
      <c r="G36" s="5"/>
      <c r="H36" s="5"/>
      <c r="I36" s="5"/>
      <c r="J36" s="5"/>
      <c r="K36" s="5"/>
      <c r="N36" s="11">
        <v>3921.88</v>
      </c>
      <c r="O36" s="11"/>
      <c r="P36" s="11">
        <v>693.4</v>
      </c>
      <c r="Q36" s="9"/>
      <c r="R36" s="5" t="s">
        <v>20</v>
      </c>
      <c r="AB36">
        <f t="shared" si="0"/>
        <v>35</v>
      </c>
      <c r="AC36" s="11">
        <v>0.8034</v>
      </c>
      <c r="AD36" s="5">
        <v>0.77</v>
      </c>
      <c r="AE36" s="11">
        <v>0.88439999999999996</v>
      </c>
      <c r="AR36">
        <v>0.7</v>
      </c>
    </row>
    <row r="37" spans="1:44" x14ac:dyDescent="0.35">
      <c r="F37" s="5"/>
      <c r="G37" s="5">
        <v>0.77229999999999999</v>
      </c>
      <c r="H37" s="5">
        <v>1127.83</v>
      </c>
      <c r="I37" s="5">
        <v>1.66415</v>
      </c>
      <c r="J37" s="5">
        <v>-1.53339</v>
      </c>
      <c r="K37" s="5">
        <v>2.6424699999999999</v>
      </c>
      <c r="N37" s="11">
        <v>3043.76</v>
      </c>
      <c r="O37" s="11"/>
      <c r="P37" s="11">
        <v>2502.0100000000002</v>
      </c>
      <c r="Q37" s="9"/>
      <c r="R37" s="5">
        <v>2357.25</v>
      </c>
      <c r="AB37">
        <f t="shared" si="0"/>
        <v>36</v>
      </c>
      <c r="AC37" s="11">
        <v>0.68669999999999998</v>
      </c>
      <c r="AD37" s="5">
        <v>0.8347</v>
      </c>
      <c r="AE37" s="11">
        <v>0.81069999999999998</v>
      </c>
      <c r="AR37">
        <v>0.8</v>
      </c>
    </row>
    <row r="38" spans="1:44" x14ac:dyDescent="0.35">
      <c r="N38" s="11">
        <v>3973.23</v>
      </c>
      <c r="O38" s="11"/>
      <c r="P38" s="11">
        <v>1199.33</v>
      </c>
      <c r="Q38" s="9"/>
      <c r="R38" s="5">
        <v>3411.05</v>
      </c>
      <c r="AB38">
        <f t="shared" si="0"/>
        <v>37</v>
      </c>
      <c r="AC38" s="11">
        <v>0.72109999999999996</v>
      </c>
      <c r="AD38" s="5">
        <v>0.79249999999999998</v>
      </c>
      <c r="AE38" s="11">
        <v>0.75670000000000004</v>
      </c>
      <c r="AR38">
        <v>0.9</v>
      </c>
    </row>
    <row r="39" spans="1:44" ht="15" thickBot="1" x14ac:dyDescent="0.4">
      <c r="A39" s="2">
        <v>4</v>
      </c>
      <c r="B39" s="2">
        <v>1</v>
      </c>
      <c r="C39" s="4">
        <v>-5192.5742875782043</v>
      </c>
      <c r="D39" s="4">
        <v>-3942.432998730304</v>
      </c>
      <c r="E39" s="4">
        <v>3631.931018404538</v>
      </c>
      <c r="N39" s="9">
        <v>0</v>
      </c>
      <c r="O39" s="11"/>
      <c r="P39" s="11">
        <v>1953.09</v>
      </c>
      <c r="Q39" s="9"/>
      <c r="R39" s="5">
        <v>1132.29</v>
      </c>
      <c r="AB39">
        <f t="shared" si="0"/>
        <v>38</v>
      </c>
      <c r="AC39" s="11">
        <v>0.93420000000000003</v>
      </c>
      <c r="AD39" s="5">
        <v>0.79859999999999998</v>
      </c>
      <c r="AE39" s="11">
        <v>0.85219999999999996</v>
      </c>
      <c r="AR39">
        <v>1</v>
      </c>
    </row>
    <row r="40" spans="1:44" ht="15" thickBot="1" x14ac:dyDescent="0.4">
      <c r="A40" s="2">
        <v>4</v>
      </c>
      <c r="B40" s="2">
        <v>2</v>
      </c>
      <c r="C40" s="4">
        <v>-5175.6848671710286</v>
      </c>
      <c r="D40" s="4">
        <v>-2176.5789912947121</v>
      </c>
      <c r="E40" s="4">
        <v>-1733.358057271279</v>
      </c>
      <c r="N40" s="5">
        <v>7886.36</v>
      </c>
      <c r="O40" s="11"/>
      <c r="P40" s="11">
        <v>1674.28</v>
      </c>
      <c r="Q40" s="9"/>
      <c r="R40" s="5">
        <v>821.45</v>
      </c>
      <c r="AB40">
        <f t="shared" si="0"/>
        <v>39</v>
      </c>
      <c r="AC40" s="9">
        <v>0.73719999999999997</v>
      </c>
      <c r="AD40" s="5">
        <v>0.69469999999999998</v>
      </c>
      <c r="AE40" s="5">
        <v>0.79</v>
      </c>
      <c r="AH40" s="18"/>
      <c r="AR40" s="16" t="s">
        <v>57</v>
      </c>
    </row>
    <row r="41" spans="1:44" ht="15" thickBot="1" x14ac:dyDescent="0.4">
      <c r="A41" s="2">
        <v>4</v>
      </c>
      <c r="B41" s="2">
        <v>3</v>
      </c>
      <c r="C41" s="4">
        <v>4576.2955875046982</v>
      </c>
      <c r="D41" s="4">
        <v>-1635.530928692411</v>
      </c>
      <c r="E41" s="4">
        <v>-2804.7231594188211</v>
      </c>
      <c r="N41" s="5">
        <v>2521.92</v>
      </c>
      <c r="O41" s="11"/>
      <c r="P41" s="11">
        <v>1447.38</v>
      </c>
      <c r="Q41" s="9"/>
      <c r="R41" s="5">
        <v>1073.32</v>
      </c>
      <c r="AB41">
        <f t="shared" si="0"/>
        <v>40</v>
      </c>
      <c r="AC41" s="5">
        <v>0.8165</v>
      </c>
      <c r="AD41" s="5">
        <v>0.69889999999999997</v>
      </c>
      <c r="AE41" s="5">
        <v>0.88790000000000002</v>
      </c>
    </row>
    <row r="42" spans="1:44" ht="15" thickBot="1" x14ac:dyDescent="0.4">
      <c r="A42" s="2">
        <v>4</v>
      </c>
      <c r="B42" s="2">
        <v>4</v>
      </c>
      <c r="C42" s="4">
        <v>5764.2131426529713</v>
      </c>
      <c r="D42" s="4">
        <v>110.8051791763591</v>
      </c>
      <c r="E42" s="4">
        <v>2.4001260373677278</v>
      </c>
      <c r="F42" s="3" t="s">
        <v>2</v>
      </c>
      <c r="G42" s="5" t="s">
        <v>5</v>
      </c>
      <c r="H42" s="5" t="s">
        <v>6</v>
      </c>
      <c r="I42" s="5" t="s">
        <v>7</v>
      </c>
      <c r="J42" s="5" t="s">
        <v>8</v>
      </c>
      <c r="K42" s="5" t="s">
        <v>9</v>
      </c>
      <c r="N42" s="5">
        <v>3548.76</v>
      </c>
      <c r="O42" s="11"/>
      <c r="P42" s="11">
        <v>5790.19</v>
      </c>
      <c r="Q42" s="9"/>
      <c r="R42" s="5">
        <v>897.19799999999998</v>
      </c>
      <c r="AB42">
        <f t="shared" si="0"/>
        <v>41</v>
      </c>
      <c r="AC42" s="5">
        <v>0.8498</v>
      </c>
      <c r="AD42" s="5">
        <v>0.61360000000000003</v>
      </c>
      <c r="AE42" s="5">
        <v>0.71579999999999999</v>
      </c>
      <c r="AJ42" s="19" t="s">
        <v>3</v>
      </c>
    </row>
    <row r="43" spans="1:44" x14ac:dyDescent="0.35">
      <c r="A43" s="2">
        <v>4</v>
      </c>
      <c r="B43" s="2">
        <v>5</v>
      </c>
      <c r="C43" s="4">
        <v>-2846.324166750212</v>
      </c>
      <c r="D43" s="4">
        <v>3420.1164505941938</v>
      </c>
      <c r="E43" s="4">
        <v>940.66105751356849</v>
      </c>
      <c r="F43" s="6"/>
      <c r="G43" s="5">
        <v>0.77759999999999996</v>
      </c>
      <c r="H43" s="5">
        <v>9920.93</v>
      </c>
      <c r="I43" s="5">
        <v>0.34619</v>
      </c>
      <c r="J43" s="5">
        <v>7.6549500000000004</v>
      </c>
      <c r="K43" s="5">
        <v>0.84268600000000005</v>
      </c>
      <c r="L43">
        <f>$H$43/H45</f>
        <v>5.3943310460323843</v>
      </c>
      <c r="N43" s="5">
        <v>9565.76</v>
      </c>
      <c r="O43" s="11"/>
      <c r="P43" s="11">
        <v>10447.1</v>
      </c>
      <c r="Q43" s="9"/>
      <c r="R43" s="9"/>
      <c r="AB43">
        <f t="shared" si="0"/>
        <v>42</v>
      </c>
      <c r="AC43" s="5">
        <v>0.8659</v>
      </c>
      <c r="AD43" s="5">
        <v>0.78400000000000003</v>
      </c>
      <c r="AE43" s="5">
        <v>0.97950000000000004</v>
      </c>
      <c r="AJ43" s="18" t="s">
        <v>60</v>
      </c>
      <c r="AK43" s="18" t="s">
        <v>58</v>
      </c>
      <c r="AL43" s="18" t="s">
        <v>59</v>
      </c>
      <c r="AM43" s="18" t="s">
        <v>60</v>
      </c>
      <c r="AN43" s="18" t="s">
        <v>58</v>
      </c>
      <c r="AO43" s="18" t="s">
        <v>59</v>
      </c>
    </row>
    <row r="44" spans="1:44" x14ac:dyDescent="0.35">
      <c r="A44" s="2">
        <v>4</v>
      </c>
      <c r="B44" s="2">
        <v>6</v>
      </c>
      <c r="C44" s="4">
        <v>-343.40147390983537</v>
      </c>
      <c r="D44" s="4">
        <v>2447.7717145577731</v>
      </c>
      <c r="E44" s="4">
        <v>1012.810400209164</v>
      </c>
      <c r="F44" s="6" t="s">
        <v>3</v>
      </c>
      <c r="G44" s="5"/>
      <c r="H44" s="5"/>
      <c r="I44" s="5"/>
      <c r="J44" s="5"/>
      <c r="K44" s="5"/>
      <c r="L44" t="e">
        <f t="shared" ref="L44:L46" si="1">$H$43/H46</f>
        <v>#DIV/0!</v>
      </c>
      <c r="N44" s="5">
        <v>3003.05</v>
      </c>
      <c r="O44" s="5"/>
      <c r="P44" s="5" t="s">
        <v>22</v>
      </c>
      <c r="Q44" s="5"/>
      <c r="R44" s="5">
        <v>2070.02</v>
      </c>
      <c r="AB44">
        <f t="shared" si="0"/>
        <v>43</v>
      </c>
      <c r="AC44" s="5">
        <v>0.78300000000000003</v>
      </c>
      <c r="AD44" s="9">
        <v>0.78449999999999998</v>
      </c>
      <c r="AE44" s="5">
        <v>0.89510000000000001</v>
      </c>
      <c r="AJ44">
        <v>0.5</v>
      </c>
      <c r="AK44">
        <v>0</v>
      </c>
      <c r="AL44" s="15">
        <v>0</v>
      </c>
      <c r="AM44">
        <v>1</v>
      </c>
      <c r="AN44">
        <v>29</v>
      </c>
      <c r="AO44" s="15">
        <v>0.37662337662337664</v>
      </c>
    </row>
    <row r="45" spans="1:44" x14ac:dyDescent="0.35">
      <c r="A45" s="2">
        <v>4</v>
      </c>
      <c r="B45" s="2">
        <v>7</v>
      </c>
      <c r="C45" s="4">
        <v>9412.3954974127882</v>
      </c>
      <c r="D45" s="4">
        <v>-259.95355153599172</v>
      </c>
      <c r="E45" s="4">
        <v>2147.148889998824</v>
      </c>
      <c r="F45" s="6"/>
      <c r="G45" s="5">
        <v>0.99039999999999995</v>
      </c>
      <c r="H45" s="5">
        <v>1839.14</v>
      </c>
      <c r="I45" s="5">
        <v>2.7773400000000001</v>
      </c>
      <c r="J45" s="5">
        <v>-0.766042</v>
      </c>
      <c r="K45" s="5">
        <v>2.1731799999999999</v>
      </c>
      <c r="L45">
        <f>$H$43/H45</f>
        <v>5.3943310460323843</v>
      </c>
      <c r="N45" s="5">
        <v>3497.35</v>
      </c>
      <c r="O45" s="5"/>
      <c r="P45" s="5">
        <v>1226.5</v>
      </c>
      <c r="Q45" s="5"/>
      <c r="R45" s="5">
        <v>3254.95</v>
      </c>
      <c r="AB45">
        <f t="shared" si="0"/>
        <v>44</v>
      </c>
      <c r="AC45" s="5">
        <v>0.88649999999999995</v>
      </c>
      <c r="AD45" s="5">
        <v>0.91390000000000005</v>
      </c>
      <c r="AE45" s="5">
        <v>0.72419999999999995</v>
      </c>
      <c r="AJ45">
        <v>0.6</v>
      </c>
      <c r="AK45">
        <v>0</v>
      </c>
      <c r="AL45" s="15">
        <v>0</v>
      </c>
      <c r="AM45">
        <v>0.9</v>
      </c>
      <c r="AN45">
        <v>24</v>
      </c>
      <c r="AO45" s="15">
        <v>0.68831168831168832</v>
      </c>
    </row>
    <row r="46" spans="1:44" ht="15" thickBot="1" x14ac:dyDescent="0.4">
      <c r="A46" s="2">
        <v>4</v>
      </c>
      <c r="B46" s="2">
        <v>8</v>
      </c>
      <c r="C46" s="4">
        <v>-4296.7407407395121</v>
      </c>
      <c r="D46" s="4">
        <v>3964.0837864109708</v>
      </c>
      <c r="E46" s="4">
        <v>-501.98695662414929</v>
      </c>
      <c r="F46" s="6" t="s">
        <v>4</v>
      </c>
      <c r="G46" s="5"/>
      <c r="H46" s="5"/>
      <c r="I46" s="5"/>
      <c r="J46" s="5"/>
      <c r="K46" s="5"/>
      <c r="L46" t="e">
        <f t="shared" si="1"/>
        <v>#DIV/0!</v>
      </c>
      <c r="N46" s="5">
        <v>10061.200000000001</v>
      </c>
      <c r="O46" s="5"/>
      <c r="P46" s="5">
        <v>3517.91</v>
      </c>
      <c r="Q46" s="5"/>
      <c r="R46" s="5">
        <v>867.12900000000002</v>
      </c>
      <c r="AB46">
        <f t="shared" si="0"/>
        <v>45</v>
      </c>
      <c r="AC46" s="5">
        <v>0.65600000000000003</v>
      </c>
      <c r="AD46" s="5">
        <v>0.84609999999999996</v>
      </c>
      <c r="AE46" s="5">
        <v>0.67469999999999997</v>
      </c>
      <c r="AH46" s="16"/>
      <c r="AJ46">
        <v>0.7</v>
      </c>
      <c r="AK46">
        <v>3</v>
      </c>
      <c r="AL46" s="15">
        <v>3.896103896103896E-2</v>
      </c>
      <c r="AM46">
        <v>0.8</v>
      </c>
      <c r="AN46">
        <v>21</v>
      </c>
      <c r="AO46" s="15">
        <v>0.96103896103896103</v>
      </c>
    </row>
    <row r="47" spans="1:44" x14ac:dyDescent="0.35">
      <c r="A47" s="2">
        <v>4</v>
      </c>
      <c r="B47" s="2">
        <v>9</v>
      </c>
      <c r="C47" s="4">
        <v>1575.1332855133039</v>
      </c>
      <c r="D47" s="4">
        <v>-303.74910184821078</v>
      </c>
      <c r="E47" s="4">
        <v>-1186.9995075882359</v>
      </c>
      <c r="F47" s="5"/>
      <c r="G47" s="5">
        <v>0.80769999999999997</v>
      </c>
      <c r="H47" s="5">
        <v>1174.5</v>
      </c>
      <c r="I47" s="5">
        <v>1.7227399999999999</v>
      </c>
      <c r="J47" s="5">
        <v>0.51910800000000001</v>
      </c>
      <c r="K47" s="5">
        <v>2.6004700000000001</v>
      </c>
      <c r="L47">
        <f>$H$43/H47</f>
        <v>8.4469391230310773</v>
      </c>
      <c r="N47" s="5">
        <v>2256.88</v>
      </c>
      <c r="O47" s="5"/>
      <c r="P47" s="5">
        <v>1622</v>
      </c>
      <c r="Q47" s="5"/>
      <c r="R47" s="5">
        <v>2068.42</v>
      </c>
      <c r="AB47">
        <f t="shared" si="0"/>
        <v>46</v>
      </c>
      <c r="AC47" s="5">
        <v>0.86029999999999995</v>
      </c>
      <c r="AD47" s="5">
        <v>0.62029999999999996</v>
      </c>
      <c r="AE47" s="5">
        <v>0.89059999999999995</v>
      </c>
      <c r="AJ47">
        <v>0.8</v>
      </c>
      <c r="AK47">
        <v>21</v>
      </c>
      <c r="AL47" s="15">
        <v>0.31168831168831168</v>
      </c>
      <c r="AM47">
        <v>0.7</v>
      </c>
      <c r="AN47">
        <v>3</v>
      </c>
      <c r="AO47" s="15">
        <v>1</v>
      </c>
    </row>
    <row r="48" spans="1:44" x14ac:dyDescent="0.35">
      <c r="A48" s="2">
        <v>4</v>
      </c>
      <c r="B48" s="2">
        <v>10</v>
      </c>
      <c r="C48" s="4">
        <v>-3473.3119769350278</v>
      </c>
      <c r="D48" s="4">
        <v>-1624.5315586372651</v>
      </c>
      <c r="E48" s="4">
        <v>-1507.8838112604651</v>
      </c>
      <c r="N48" s="5">
        <v>2256.88</v>
      </c>
      <c r="O48" s="5"/>
      <c r="P48" s="5">
        <v>1622</v>
      </c>
      <c r="Q48" s="5"/>
      <c r="R48" s="5">
        <v>2068.42</v>
      </c>
      <c r="AB48">
        <f t="shared" si="0"/>
        <v>47</v>
      </c>
      <c r="AC48" s="5">
        <v>0.84599999999999997</v>
      </c>
      <c r="AD48" s="5">
        <v>0.73299999999999998</v>
      </c>
      <c r="AE48" s="5">
        <v>0.78239999999999998</v>
      </c>
      <c r="AJ48">
        <v>0.9</v>
      </c>
      <c r="AK48">
        <v>24</v>
      </c>
      <c r="AL48" s="15">
        <v>0.62337662337662336</v>
      </c>
      <c r="AM48">
        <v>0.5</v>
      </c>
      <c r="AN48">
        <v>0</v>
      </c>
      <c r="AO48" s="15">
        <v>1</v>
      </c>
    </row>
    <row r="49" spans="1:41" x14ac:dyDescent="0.35">
      <c r="N49" s="5">
        <v>6507.8</v>
      </c>
      <c r="O49" s="5"/>
      <c r="P49" s="5">
        <v>1192.17</v>
      </c>
      <c r="Q49" s="5"/>
      <c r="R49" s="5">
        <v>1025.3800000000001</v>
      </c>
      <c r="AB49">
        <f t="shared" si="0"/>
        <v>48</v>
      </c>
      <c r="AC49" s="5">
        <v>0.84599999999999997</v>
      </c>
      <c r="AD49" s="5">
        <v>0.73299999999999998</v>
      </c>
      <c r="AE49" s="5">
        <v>0.78239999999999998</v>
      </c>
      <c r="AJ49">
        <v>1</v>
      </c>
      <c r="AK49">
        <v>29</v>
      </c>
      <c r="AL49" s="15">
        <v>1</v>
      </c>
      <c r="AM49">
        <v>0.6</v>
      </c>
      <c r="AN49">
        <v>0</v>
      </c>
      <c r="AO49" s="15">
        <v>1</v>
      </c>
    </row>
    <row r="50" spans="1:41" ht="15" thickBot="1" x14ac:dyDescent="0.4">
      <c r="N50" s="5" t="s">
        <v>24</v>
      </c>
      <c r="O50" s="5"/>
      <c r="P50" s="5">
        <v>5376.1</v>
      </c>
      <c r="Q50" s="5"/>
      <c r="R50" s="5" t="s">
        <v>26</v>
      </c>
      <c r="AB50">
        <f t="shared" si="0"/>
        <v>49</v>
      </c>
      <c r="AC50" s="5">
        <v>0.755</v>
      </c>
      <c r="AD50" s="5">
        <v>0.79969999999999997</v>
      </c>
      <c r="AE50" s="5">
        <v>0.81440000000000001</v>
      </c>
      <c r="AJ50" s="16" t="s">
        <v>57</v>
      </c>
      <c r="AK50" s="16">
        <v>0</v>
      </c>
      <c r="AL50" s="17">
        <v>1</v>
      </c>
      <c r="AM50" s="16" t="s">
        <v>57</v>
      </c>
      <c r="AN50" s="16">
        <v>0</v>
      </c>
      <c r="AO50" s="17">
        <v>1</v>
      </c>
    </row>
    <row r="51" spans="1:41" x14ac:dyDescent="0.35">
      <c r="A51" s="2">
        <v>5</v>
      </c>
      <c r="B51" s="2">
        <v>1</v>
      </c>
      <c r="C51" s="4">
        <v>-6009.8994898134379</v>
      </c>
      <c r="D51" s="4">
        <v>3606.072772862075</v>
      </c>
      <c r="E51" s="4">
        <v>-1364.911872552367</v>
      </c>
      <c r="N51" s="5">
        <v>6495.5</v>
      </c>
      <c r="O51" s="5"/>
      <c r="P51" s="5" t="s">
        <v>27</v>
      </c>
      <c r="Q51" s="5"/>
      <c r="R51" s="5" t="s">
        <v>28</v>
      </c>
      <c r="AB51">
        <f t="shared" si="0"/>
        <v>50</v>
      </c>
      <c r="AC51" s="5">
        <v>0.76449999999999996</v>
      </c>
      <c r="AD51" s="5">
        <v>0.79200000000000004</v>
      </c>
      <c r="AE51" s="5">
        <v>0.73509999999999998</v>
      </c>
    </row>
    <row r="52" spans="1:41" x14ac:dyDescent="0.35">
      <c r="A52" s="2">
        <v>5</v>
      </c>
      <c r="B52" s="2">
        <v>2</v>
      </c>
      <c r="C52" s="4">
        <v>-6699.0638076035657</v>
      </c>
      <c r="D52" s="4">
        <v>1147.841796604818</v>
      </c>
      <c r="E52" s="4">
        <v>1112.0570319298761</v>
      </c>
      <c r="F52" s="3" t="s">
        <v>2</v>
      </c>
      <c r="G52" s="5" t="s">
        <v>5</v>
      </c>
      <c r="H52" s="5" t="s">
        <v>6</v>
      </c>
      <c r="I52" s="5" t="s">
        <v>7</v>
      </c>
      <c r="J52" s="5" t="s">
        <v>8</v>
      </c>
      <c r="K52" s="5" t="s">
        <v>9</v>
      </c>
      <c r="N52" s="5" t="s">
        <v>30</v>
      </c>
      <c r="O52" s="5"/>
      <c r="P52" s="5">
        <v>2382.46</v>
      </c>
      <c r="Q52" s="5"/>
      <c r="R52" s="5">
        <v>1496.88</v>
      </c>
      <c r="AB52">
        <f t="shared" si="0"/>
        <v>51</v>
      </c>
      <c r="AC52" s="5">
        <v>0.877</v>
      </c>
      <c r="AD52" s="5">
        <v>0.79800000000000004</v>
      </c>
      <c r="AE52" s="5">
        <v>0.70760000000000001</v>
      </c>
    </row>
    <row r="53" spans="1:41" x14ac:dyDescent="0.35">
      <c r="A53" s="2">
        <v>5</v>
      </c>
      <c r="B53" s="2">
        <v>3</v>
      </c>
      <c r="C53" s="4">
        <v>-4289.026602432662</v>
      </c>
      <c r="D53" s="4">
        <v>-2408.3977734725072</v>
      </c>
      <c r="E53" s="4">
        <v>3759.8389761853568</v>
      </c>
      <c r="F53" s="6"/>
      <c r="G53" s="5">
        <v>0.73729999999999996</v>
      </c>
      <c r="H53" s="5">
        <v>3244.17</v>
      </c>
      <c r="I53" s="5">
        <v>2.65666</v>
      </c>
      <c r="J53" s="5">
        <v>-0.49269800000000002</v>
      </c>
      <c r="K53" s="5">
        <v>1.98715</v>
      </c>
      <c r="N53" s="5" t="s">
        <v>31</v>
      </c>
      <c r="O53" s="5"/>
      <c r="P53" s="5">
        <v>3317.84</v>
      </c>
      <c r="Q53" s="5"/>
      <c r="R53" s="5" t="s">
        <v>32</v>
      </c>
      <c r="AB53">
        <f t="shared" si="0"/>
        <v>52</v>
      </c>
      <c r="AC53" s="5">
        <v>0.84179999999999999</v>
      </c>
      <c r="AD53" s="5">
        <v>0.78800000000000003</v>
      </c>
      <c r="AE53" s="5">
        <v>0.73099999999999998</v>
      </c>
    </row>
    <row r="54" spans="1:41" x14ac:dyDescent="0.35">
      <c r="A54" s="2">
        <v>5</v>
      </c>
      <c r="B54" s="2">
        <v>4</v>
      </c>
      <c r="C54" s="4">
        <v>-3436.5439479409679</v>
      </c>
      <c r="D54" s="4">
        <v>-2438.414869610363</v>
      </c>
      <c r="E54" s="4">
        <v>-833.30532515442474</v>
      </c>
      <c r="F54" s="6" t="s">
        <v>3</v>
      </c>
      <c r="G54" s="5"/>
      <c r="H54" s="5"/>
      <c r="I54" s="5"/>
      <c r="J54" s="5"/>
      <c r="K54" s="5"/>
      <c r="N54" s="5" t="s">
        <v>34</v>
      </c>
      <c r="O54" s="5"/>
      <c r="P54" s="5" t="s">
        <v>35</v>
      </c>
      <c r="Q54" s="5"/>
      <c r="R54" s="5">
        <v>5503.22</v>
      </c>
      <c r="AB54">
        <f t="shared" si="0"/>
        <v>53</v>
      </c>
      <c r="AC54" s="5">
        <v>0.79290000000000005</v>
      </c>
      <c r="AD54" s="5">
        <v>0.82140000000000002</v>
      </c>
      <c r="AE54" s="5">
        <v>0.75429999999999997</v>
      </c>
      <c r="AL54" s="11"/>
    </row>
    <row r="55" spans="1:41" x14ac:dyDescent="0.35">
      <c r="A55" s="2">
        <v>5</v>
      </c>
      <c r="B55" s="2">
        <v>5</v>
      </c>
      <c r="C55" s="4">
        <v>8327.4247174375105</v>
      </c>
      <c r="D55" s="4">
        <v>-687.45244277826214</v>
      </c>
      <c r="E55" s="4">
        <v>590.84835898471692</v>
      </c>
      <c r="F55" s="6"/>
      <c r="G55" s="5">
        <v>0.61499999999999999</v>
      </c>
      <c r="H55" s="5">
        <v>1701.68</v>
      </c>
      <c r="I55" s="5">
        <v>1.8243400000000001</v>
      </c>
      <c r="J55" s="5">
        <v>0.26915</v>
      </c>
      <c r="K55" s="5">
        <v>2.2959900000000002</v>
      </c>
      <c r="N55" s="5">
        <v>12060.2</v>
      </c>
      <c r="O55" s="5"/>
      <c r="P55" s="5">
        <v>4932.57</v>
      </c>
      <c r="Q55" s="5"/>
      <c r="R55" s="5">
        <v>1219.8900000000001</v>
      </c>
      <c r="AB55">
        <f t="shared" si="0"/>
        <v>54</v>
      </c>
      <c r="AC55" s="5">
        <v>0.79490000000000005</v>
      </c>
      <c r="AD55" s="5">
        <v>0.68559999999999999</v>
      </c>
      <c r="AE55" s="5">
        <v>0.73499999999999999</v>
      </c>
    </row>
    <row r="56" spans="1:41" x14ac:dyDescent="0.35">
      <c r="A56" s="2">
        <v>5</v>
      </c>
      <c r="B56" s="2">
        <v>6</v>
      </c>
      <c r="C56" s="4">
        <v>4604.1336014929684</v>
      </c>
      <c r="D56" s="4">
        <v>-690.82209606519484</v>
      </c>
      <c r="E56" s="4">
        <v>-1533.235121481649</v>
      </c>
      <c r="F56" s="6" t="s">
        <v>4</v>
      </c>
      <c r="G56" s="5"/>
      <c r="H56" s="5"/>
      <c r="I56" s="5"/>
      <c r="J56" s="5"/>
      <c r="K56" s="5"/>
      <c r="N56" s="5" t="s">
        <v>37</v>
      </c>
      <c r="O56" s="5"/>
      <c r="P56" s="5">
        <v>6381.89</v>
      </c>
      <c r="Q56" s="5"/>
      <c r="R56" s="5">
        <v>2212.06</v>
      </c>
      <c r="AB56">
        <f t="shared" si="0"/>
        <v>55</v>
      </c>
      <c r="AC56" s="5">
        <v>0.89129999999999998</v>
      </c>
      <c r="AD56" s="5">
        <v>0.74550000000000005</v>
      </c>
      <c r="AE56" s="5">
        <v>0.86209999999999998</v>
      </c>
      <c r="AL56" s="11"/>
    </row>
    <row r="57" spans="1:41" x14ac:dyDescent="0.35">
      <c r="A57" s="2">
        <v>5</v>
      </c>
      <c r="B57" s="2">
        <v>7</v>
      </c>
      <c r="C57" s="4">
        <v>-540.42233017428271</v>
      </c>
      <c r="D57" s="4">
        <v>-1484.598783717292</v>
      </c>
      <c r="E57" s="4">
        <v>-2678.6489344139782</v>
      </c>
      <c r="F57" s="5"/>
      <c r="G57" s="5">
        <v>0.85299999999999998</v>
      </c>
      <c r="H57" s="5">
        <v>1217.67</v>
      </c>
      <c r="I57" s="5">
        <v>2.1755599999999999</v>
      </c>
      <c r="J57" s="5">
        <v>-0.92509699999999995</v>
      </c>
      <c r="K57" s="5">
        <v>2.6957499999999999</v>
      </c>
      <c r="N57" s="5">
        <v>6484.43</v>
      </c>
      <c r="O57" s="5"/>
      <c r="P57" s="5">
        <v>7878.7</v>
      </c>
      <c r="Q57" s="5"/>
      <c r="R57" s="5">
        <v>1482.25</v>
      </c>
      <c r="AB57">
        <f t="shared" si="0"/>
        <v>56</v>
      </c>
      <c r="AC57" s="5">
        <v>0.60589999999999999</v>
      </c>
      <c r="AD57" s="5">
        <v>0.7036</v>
      </c>
      <c r="AE57" s="5">
        <v>0.6986</v>
      </c>
    </row>
    <row r="58" spans="1:41" x14ac:dyDescent="0.35">
      <c r="A58" s="2">
        <v>5</v>
      </c>
      <c r="B58" s="2">
        <v>8</v>
      </c>
      <c r="C58" s="4">
        <v>-1363.863158615231</v>
      </c>
      <c r="D58" s="4">
        <v>-1742.486255340662</v>
      </c>
      <c r="E58" s="4">
        <v>-1195.232707505329</v>
      </c>
      <c r="N58" s="5">
        <v>4709.25</v>
      </c>
      <c r="O58" s="5"/>
      <c r="P58" s="5">
        <v>3287.77</v>
      </c>
      <c r="Q58" s="5"/>
      <c r="R58" s="5">
        <v>3291.86</v>
      </c>
      <c r="AB58">
        <f t="shared" si="0"/>
        <v>57</v>
      </c>
      <c r="AC58" s="5">
        <v>0.8579</v>
      </c>
      <c r="AD58" s="5">
        <v>0.88690000000000002</v>
      </c>
      <c r="AE58" s="5">
        <v>0.73109999999999997</v>
      </c>
      <c r="AM58" s="11"/>
    </row>
    <row r="59" spans="1:41" x14ac:dyDescent="0.35">
      <c r="A59" s="2">
        <v>5</v>
      </c>
      <c r="B59" s="2">
        <v>9</v>
      </c>
      <c r="C59" s="4">
        <v>6694.5281252863297</v>
      </c>
      <c r="D59" s="4">
        <v>912.55392063381237</v>
      </c>
      <c r="E59" s="4">
        <v>1446.1020270725271</v>
      </c>
      <c r="N59" s="5">
        <v>31973.8</v>
      </c>
      <c r="O59" s="5"/>
      <c r="P59" s="5">
        <v>3701.57</v>
      </c>
      <c r="Q59" s="5"/>
      <c r="R59" s="5" t="s">
        <v>38</v>
      </c>
      <c r="AB59">
        <f t="shared" si="0"/>
        <v>58</v>
      </c>
      <c r="AC59" s="5">
        <v>0.87019999999999997</v>
      </c>
      <c r="AD59" s="5">
        <v>0.89049999999999996</v>
      </c>
      <c r="AE59" s="5">
        <v>0.82789999999999997</v>
      </c>
    </row>
    <row r="60" spans="1:41" x14ac:dyDescent="0.35">
      <c r="A60" s="2">
        <v>5</v>
      </c>
      <c r="B60" s="2">
        <v>10</v>
      </c>
      <c r="C60" s="4">
        <v>2712.7328923631421</v>
      </c>
      <c r="D60" s="4">
        <v>3785.7037308828271</v>
      </c>
      <c r="E60" s="4">
        <v>696.48756693539576</v>
      </c>
      <c r="N60" s="5">
        <v>3254.85</v>
      </c>
      <c r="O60" s="5"/>
      <c r="P60" s="5" t="s">
        <v>40</v>
      </c>
      <c r="Q60" s="5"/>
      <c r="R60" s="5">
        <v>2137.9899999999998</v>
      </c>
      <c r="AB60">
        <f t="shared" si="0"/>
        <v>59</v>
      </c>
      <c r="AC60" s="5">
        <v>0.79579999999999995</v>
      </c>
      <c r="AD60" s="5">
        <v>0.74180000000000001</v>
      </c>
      <c r="AE60" s="5">
        <v>0.89590000000000003</v>
      </c>
      <c r="AL60" s="11"/>
    </row>
    <row r="61" spans="1:41" x14ac:dyDescent="0.35">
      <c r="N61" s="5">
        <v>10385.5</v>
      </c>
      <c r="O61" s="5"/>
      <c r="P61" s="5">
        <v>1581.14</v>
      </c>
      <c r="Q61" s="5"/>
      <c r="R61" s="5">
        <v>1196.67</v>
      </c>
      <c r="AB61">
        <f t="shared" si="0"/>
        <v>60</v>
      </c>
      <c r="AC61" s="5">
        <v>0.79069999999999996</v>
      </c>
      <c r="AD61" s="5">
        <v>0.6794</v>
      </c>
      <c r="AE61" s="5">
        <v>0.80249999999999999</v>
      </c>
    </row>
    <row r="62" spans="1:41" x14ac:dyDescent="0.35">
      <c r="F62" s="3" t="s">
        <v>2</v>
      </c>
      <c r="G62" s="5" t="s">
        <v>5</v>
      </c>
      <c r="H62" s="5" t="s">
        <v>6</v>
      </c>
      <c r="I62" s="5" t="s">
        <v>7</v>
      </c>
      <c r="J62" s="5" t="s">
        <v>8</v>
      </c>
      <c r="K62" s="5" t="s">
        <v>9</v>
      </c>
      <c r="N62" s="5">
        <v>4906.13</v>
      </c>
      <c r="O62" s="5"/>
      <c r="P62" s="5">
        <v>5624.06</v>
      </c>
      <c r="Q62" s="5"/>
      <c r="R62" s="5" t="s">
        <v>41</v>
      </c>
      <c r="AB62">
        <f t="shared" si="0"/>
        <v>61</v>
      </c>
      <c r="AC62" s="5">
        <v>0.76249999999999996</v>
      </c>
      <c r="AD62" s="5">
        <v>0.84719999999999995</v>
      </c>
      <c r="AE62" s="5">
        <v>0.86380000000000001</v>
      </c>
      <c r="AL62" s="11"/>
    </row>
    <row r="63" spans="1:41" x14ac:dyDescent="0.35">
      <c r="A63" s="2">
        <v>6</v>
      </c>
      <c r="B63" s="2">
        <v>1</v>
      </c>
      <c r="C63" s="4">
        <v>-2522.5424368177378</v>
      </c>
      <c r="D63" s="4">
        <v>-4242.6595754719119</v>
      </c>
      <c r="E63" s="4">
        <v>1767.9613678639521</v>
      </c>
      <c r="F63" s="6"/>
      <c r="G63" s="5">
        <v>0.74750000000000005</v>
      </c>
      <c r="H63" s="5" t="s">
        <v>10</v>
      </c>
      <c r="I63" s="5" t="s">
        <v>11</v>
      </c>
      <c r="J63" s="5">
        <f>-5.165*10^8</f>
        <v>-516500000</v>
      </c>
      <c r="K63" s="5">
        <v>1.2902400000000001</v>
      </c>
      <c r="N63" s="5">
        <v>12694.8</v>
      </c>
      <c r="O63" s="5"/>
      <c r="P63" s="5">
        <v>17182</v>
      </c>
      <c r="Q63" s="5"/>
      <c r="R63" s="5" t="s">
        <v>42</v>
      </c>
      <c r="AB63">
        <f t="shared" si="0"/>
        <v>62</v>
      </c>
      <c r="AC63" s="5">
        <v>0.71409999999999996</v>
      </c>
      <c r="AD63" s="5">
        <v>0.63680000000000003</v>
      </c>
      <c r="AE63" s="5">
        <v>0.94010000000000005</v>
      </c>
    </row>
    <row r="64" spans="1:41" x14ac:dyDescent="0.35">
      <c r="A64" s="2">
        <v>6</v>
      </c>
      <c r="B64" s="2">
        <v>2</v>
      </c>
      <c r="C64" s="4">
        <v>-3433.3175586345251</v>
      </c>
      <c r="D64" s="4">
        <v>-2538.723680727926</v>
      </c>
      <c r="E64" s="4">
        <v>541.37924079984896</v>
      </c>
      <c r="F64" s="6" t="s">
        <v>3</v>
      </c>
      <c r="G64" s="5"/>
      <c r="H64" s="5"/>
      <c r="I64" s="5"/>
      <c r="J64" s="5"/>
      <c r="K64" s="5"/>
      <c r="N64" s="5">
        <v>3422.12</v>
      </c>
      <c r="O64" s="5"/>
      <c r="P64" s="5">
        <v>1511.82</v>
      </c>
      <c r="Q64" s="5"/>
      <c r="R64" s="5" t="s">
        <v>44</v>
      </c>
      <c r="AB64">
        <f t="shared" si="0"/>
        <v>63</v>
      </c>
      <c r="AC64" s="5">
        <v>0.74250000000000005</v>
      </c>
      <c r="AD64" s="5">
        <v>0.84309999999999996</v>
      </c>
      <c r="AE64" s="5">
        <v>0.81720000000000004</v>
      </c>
      <c r="AL64" s="11"/>
    </row>
    <row r="65" spans="1:41" x14ac:dyDescent="0.35">
      <c r="A65" s="2">
        <v>6</v>
      </c>
      <c r="B65" s="2">
        <v>3</v>
      </c>
      <c r="C65" s="4">
        <v>1261.050678290934</v>
      </c>
      <c r="D65" s="4">
        <v>-1935.8104342627651</v>
      </c>
      <c r="E65" s="4">
        <v>-2095.7383773329989</v>
      </c>
      <c r="F65" s="6"/>
      <c r="G65" s="5">
        <v>0.86529999999999996</v>
      </c>
      <c r="H65" s="5">
        <v>4169.5200000000004</v>
      </c>
      <c r="I65" s="5">
        <v>1.6291899999999999</v>
      </c>
      <c r="J65" s="5">
        <v>1.81982</v>
      </c>
      <c r="K65" s="5">
        <v>1.1052900000000001</v>
      </c>
      <c r="N65" s="5">
        <v>7935.9</v>
      </c>
      <c r="O65" s="5"/>
      <c r="P65" s="5">
        <v>3685.78</v>
      </c>
      <c r="Q65" s="5"/>
      <c r="R65" s="5">
        <v>4739.7700000000004</v>
      </c>
      <c r="AB65">
        <f t="shared" si="0"/>
        <v>64</v>
      </c>
      <c r="AC65" s="5">
        <v>0.81210000000000004</v>
      </c>
      <c r="AD65" s="5">
        <v>0.66490000000000005</v>
      </c>
      <c r="AE65" s="5">
        <v>0.96209999999999996</v>
      </c>
    </row>
    <row r="66" spans="1:41" x14ac:dyDescent="0.35">
      <c r="A66" s="2">
        <v>6</v>
      </c>
      <c r="B66" s="2">
        <v>4</v>
      </c>
      <c r="C66" s="4">
        <v>-3966.7026491129018</v>
      </c>
      <c r="D66" s="4">
        <v>-1245.862264578006</v>
      </c>
      <c r="E66" s="4">
        <v>-2732.416949088868</v>
      </c>
      <c r="F66" s="6" t="s">
        <v>4</v>
      </c>
      <c r="G66" s="5"/>
      <c r="H66" s="5"/>
      <c r="I66" s="5"/>
      <c r="J66" s="5"/>
      <c r="K66" s="5"/>
      <c r="N66" s="5">
        <v>20662</v>
      </c>
      <c r="O66" s="5"/>
      <c r="P66" s="5" t="s">
        <v>45</v>
      </c>
      <c r="Q66" s="5"/>
      <c r="R66" s="5">
        <v>1252.6099999999999</v>
      </c>
      <c r="AB66">
        <f t="shared" si="0"/>
        <v>65</v>
      </c>
      <c r="AC66" s="5">
        <v>0.86980000000000002</v>
      </c>
      <c r="AD66" s="5">
        <v>0.7792</v>
      </c>
      <c r="AE66" s="5">
        <v>0.9476</v>
      </c>
      <c r="AL66" s="11"/>
    </row>
    <row r="67" spans="1:41" x14ac:dyDescent="0.35">
      <c r="A67" s="2">
        <v>6</v>
      </c>
      <c r="B67" s="2">
        <v>5</v>
      </c>
      <c r="C67" s="4">
        <v>-4155.5818396269042</v>
      </c>
      <c r="D67" s="4">
        <v>5422.6125295850043</v>
      </c>
      <c r="E67" s="4">
        <v>805.17270754178276</v>
      </c>
      <c r="F67" s="5"/>
      <c r="G67" s="5">
        <v>0.65669999999999995</v>
      </c>
      <c r="H67" s="5">
        <v>3013.82</v>
      </c>
      <c r="I67" s="5">
        <v>1.99064</v>
      </c>
      <c r="J67" s="5">
        <v>-0.69979100000000005</v>
      </c>
      <c r="K67" s="5">
        <v>1.4039900000000001</v>
      </c>
      <c r="N67" s="5">
        <v>4219.78</v>
      </c>
      <c r="O67" s="5"/>
      <c r="P67" s="5" t="s">
        <v>46</v>
      </c>
      <c r="Q67" s="5"/>
      <c r="R67" s="5">
        <v>1674.52</v>
      </c>
      <c r="AB67">
        <f t="shared" si="0"/>
        <v>66</v>
      </c>
      <c r="AC67" s="5">
        <v>0.82930000000000004</v>
      </c>
      <c r="AD67" s="5">
        <v>0.81310000000000004</v>
      </c>
      <c r="AE67" s="5">
        <v>0.93700000000000006</v>
      </c>
    </row>
    <row r="68" spans="1:41" x14ac:dyDescent="0.35">
      <c r="A68" s="2">
        <v>6</v>
      </c>
      <c r="B68" s="2">
        <v>6</v>
      </c>
      <c r="C68" s="4">
        <v>6553.7798036502454</v>
      </c>
      <c r="D68" s="4">
        <v>112.71430626317721</v>
      </c>
      <c r="E68" s="4">
        <v>-980.00515848115822</v>
      </c>
      <c r="N68" s="5" t="s">
        <v>48</v>
      </c>
      <c r="O68" s="5"/>
      <c r="P68" s="5" t="s">
        <v>50</v>
      </c>
      <c r="Q68" s="5"/>
      <c r="R68" s="5">
        <v>2217.59</v>
      </c>
      <c r="AB68">
        <f t="shared" ref="AB68:AB77" si="2">AB67+1</f>
        <v>67</v>
      </c>
      <c r="AC68" s="5">
        <v>0.67130000000000001</v>
      </c>
      <c r="AD68" s="5">
        <v>0.8206</v>
      </c>
      <c r="AE68" s="5">
        <v>0.90669999999999995</v>
      </c>
      <c r="AL68" s="11"/>
    </row>
    <row r="69" spans="1:41" x14ac:dyDescent="0.35">
      <c r="A69" s="2">
        <v>6</v>
      </c>
      <c r="B69" s="2">
        <v>7</v>
      </c>
      <c r="C69" s="4">
        <v>2883.0695666739548</v>
      </c>
      <c r="D69" s="4">
        <v>1115.674447719606</v>
      </c>
      <c r="E69" s="4">
        <v>-1287.9013092061059</v>
      </c>
      <c r="N69" s="5">
        <v>3321.26</v>
      </c>
      <c r="O69" s="5"/>
      <c r="P69" s="5">
        <v>3691.12</v>
      </c>
      <c r="Q69" s="5"/>
      <c r="R69" s="5" t="s">
        <v>52</v>
      </c>
      <c r="AB69">
        <f t="shared" si="2"/>
        <v>68</v>
      </c>
      <c r="AC69" s="5">
        <v>0.85109999999999997</v>
      </c>
      <c r="AD69" s="5">
        <v>0.89419999999999999</v>
      </c>
      <c r="AE69" s="5">
        <v>0.86799999999999999</v>
      </c>
    </row>
    <row r="70" spans="1:41" x14ac:dyDescent="0.35">
      <c r="A70" s="2">
        <v>6</v>
      </c>
      <c r="B70" s="2">
        <v>8</v>
      </c>
      <c r="C70" s="4">
        <v>2479.1293225757372</v>
      </c>
      <c r="D70" s="4">
        <v>1308.088940919705</v>
      </c>
      <c r="E70" s="4">
        <v>-778.88485381863859</v>
      </c>
      <c r="N70" s="5" t="s">
        <v>53</v>
      </c>
      <c r="O70" s="5"/>
      <c r="P70" s="5" t="s">
        <v>54</v>
      </c>
      <c r="Q70" s="5"/>
      <c r="R70" s="5">
        <v>7887.83</v>
      </c>
      <c r="AB70">
        <f t="shared" si="2"/>
        <v>69</v>
      </c>
      <c r="AC70" s="5">
        <v>0.75329999999999997</v>
      </c>
      <c r="AD70" s="5">
        <v>0.86660000000000004</v>
      </c>
      <c r="AE70" s="5">
        <v>0.8367</v>
      </c>
      <c r="AL70" s="11"/>
    </row>
    <row r="71" spans="1:41" x14ac:dyDescent="0.35">
      <c r="A71" s="2">
        <v>6</v>
      </c>
      <c r="B71" s="2">
        <v>9</v>
      </c>
      <c r="C71" s="4">
        <v>-2425.1657448918322</v>
      </c>
      <c r="D71" s="4">
        <v>2303.6256009093472</v>
      </c>
      <c r="E71" s="4">
        <v>399.75032323530178</v>
      </c>
      <c r="N71" s="5">
        <v>4340.5600000000004</v>
      </c>
      <c r="O71" s="5"/>
      <c r="P71" s="5">
        <v>1939.01</v>
      </c>
      <c r="Q71" s="5"/>
      <c r="R71" s="5"/>
      <c r="AB71">
        <f t="shared" si="2"/>
        <v>70</v>
      </c>
      <c r="AC71" s="5">
        <v>0.74229999999999996</v>
      </c>
      <c r="AD71" s="5">
        <v>0.87519999999999998</v>
      </c>
      <c r="AE71" s="5">
        <v>0.81950000000000001</v>
      </c>
    </row>
    <row r="72" spans="1:41" ht="15" thickBot="1" x14ac:dyDescent="0.4">
      <c r="A72" s="2">
        <v>6</v>
      </c>
      <c r="B72" s="2">
        <v>10</v>
      </c>
      <c r="C72" s="4">
        <v>3326.2808578924678</v>
      </c>
      <c r="D72" s="4">
        <v>-299.65987035624738</v>
      </c>
      <c r="E72" s="4">
        <v>4360.6830084871726</v>
      </c>
      <c r="F72" s="3" t="s">
        <v>2</v>
      </c>
      <c r="G72" s="5" t="s">
        <v>5</v>
      </c>
      <c r="H72" s="5" t="s">
        <v>6</v>
      </c>
      <c r="I72" s="5" t="s">
        <v>7</v>
      </c>
      <c r="J72" s="5" t="s">
        <v>8</v>
      </c>
      <c r="K72" s="5" t="s">
        <v>9</v>
      </c>
      <c r="N72" s="5">
        <v>14967.5</v>
      </c>
      <c r="O72" s="5"/>
      <c r="P72" s="5">
        <v>1934.66</v>
      </c>
      <c r="Q72" s="5"/>
      <c r="R72" s="5">
        <v>1138</v>
      </c>
      <c r="AB72">
        <f t="shared" si="2"/>
        <v>71</v>
      </c>
      <c r="AC72" s="5">
        <v>0.80959999999999999</v>
      </c>
      <c r="AD72" s="5">
        <v>0.80569999999999997</v>
      </c>
      <c r="AE72" s="5">
        <v>0.96379999999999999</v>
      </c>
      <c r="AL72" s="11"/>
    </row>
    <row r="73" spans="1:41" ht="24" thickBot="1" x14ac:dyDescent="0.6">
      <c r="F73" s="6"/>
      <c r="G73" s="5">
        <v>0.79610000000000003</v>
      </c>
      <c r="H73" s="5">
        <v>3072.35</v>
      </c>
      <c r="I73" s="5">
        <v>1.61395</v>
      </c>
      <c r="J73" s="5">
        <v>0.26292500000000002</v>
      </c>
      <c r="K73" s="5">
        <v>2.1465900000000002</v>
      </c>
      <c r="N73" s="5" t="s">
        <v>56</v>
      </c>
      <c r="O73" s="5"/>
      <c r="P73" s="5">
        <v>4892.3500000000004</v>
      </c>
      <c r="Q73" s="5"/>
      <c r="R73" s="5">
        <v>1105.92</v>
      </c>
      <c r="AB73">
        <f t="shared" si="2"/>
        <v>72</v>
      </c>
      <c r="AC73" s="5">
        <v>0.88990000000000002</v>
      </c>
      <c r="AD73" s="5">
        <v>0.87250000000000005</v>
      </c>
      <c r="AE73" s="5">
        <v>0.77210000000000001</v>
      </c>
      <c r="AJ73" s="20" t="s">
        <v>4</v>
      </c>
    </row>
    <row r="74" spans="1:41" ht="15" thickBot="1" x14ac:dyDescent="0.4">
      <c r="F74" s="6" t="s">
        <v>3</v>
      </c>
      <c r="G74" s="5"/>
      <c r="H74" s="5"/>
      <c r="I74" s="5"/>
      <c r="J74" s="5"/>
      <c r="K74" s="5"/>
      <c r="N74" s="5">
        <v>5027.78</v>
      </c>
      <c r="O74" s="5"/>
      <c r="P74" s="5">
        <v>1523.38</v>
      </c>
      <c r="Q74" s="5"/>
      <c r="R74" s="5">
        <v>1181.99</v>
      </c>
      <c r="AB74">
        <f t="shared" si="2"/>
        <v>73</v>
      </c>
      <c r="AC74" s="5">
        <v>0.73540000000000005</v>
      </c>
      <c r="AD74" s="5">
        <v>0.8034</v>
      </c>
      <c r="AE74" s="5">
        <v>0.84719999999999995</v>
      </c>
      <c r="AL74" s="11"/>
    </row>
    <row r="75" spans="1:41" x14ac:dyDescent="0.35">
      <c r="A75" s="2">
        <v>7</v>
      </c>
      <c r="B75" s="2">
        <v>1</v>
      </c>
      <c r="C75" s="4">
        <v>13406.13244517949</v>
      </c>
      <c r="D75" s="4">
        <v>-3415.5041205210769</v>
      </c>
      <c r="E75" s="4">
        <v>-2070.099584060762</v>
      </c>
      <c r="F75" s="6"/>
      <c r="G75" s="5">
        <v>0.76380000000000003</v>
      </c>
      <c r="H75" s="5">
        <v>1934.21</v>
      </c>
      <c r="I75" s="5">
        <v>2.2275</v>
      </c>
      <c r="J75" s="5">
        <v>-1.27763</v>
      </c>
      <c r="K75" s="5">
        <v>2.6947899999999998</v>
      </c>
      <c r="N75" s="5">
        <v>4938.3500000000004</v>
      </c>
      <c r="O75" s="5"/>
      <c r="P75" s="5">
        <v>3941.44</v>
      </c>
      <c r="Q75" s="5"/>
      <c r="R75" s="5">
        <v>4373.3</v>
      </c>
      <c r="AB75">
        <f t="shared" si="2"/>
        <v>74</v>
      </c>
      <c r="AC75" s="5">
        <v>0.81759999999999999</v>
      </c>
      <c r="AD75" s="5">
        <v>0.8931</v>
      </c>
      <c r="AE75" s="5">
        <v>0.78639999999999999</v>
      </c>
      <c r="AJ75" s="18" t="s">
        <v>60</v>
      </c>
      <c r="AK75" s="18" t="s">
        <v>58</v>
      </c>
      <c r="AL75" s="18" t="s">
        <v>59</v>
      </c>
      <c r="AM75" s="18" t="s">
        <v>60</v>
      </c>
      <c r="AN75" s="18" t="s">
        <v>58</v>
      </c>
      <c r="AO75" s="18" t="s">
        <v>59</v>
      </c>
    </row>
    <row r="76" spans="1:41" x14ac:dyDescent="0.35">
      <c r="A76" s="2">
        <v>7</v>
      </c>
      <c r="B76" s="2">
        <v>2</v>
      </c>
      <c r="C76" s="4">
        <v>870.56543580413791</v>
      </c>
      <c r="D76" s="4">
        <v>-1429.3391841066771</v>
      </c>
      <c r="E76" s="4">
        <v>5099.9564775772069</v>
      </c>
      <c r="F76" s="6" t="s">
        <v>4</v>
      </c>
      <c r="G76" s="5"/>
      <c r="H76" s="5"/>
      <c r="I76" s="5"/>
      <c r="J76" s="5"/>
      <c r="K76" s="5"/>
      <c r="N76" s="5">
        <v>14286.1</v>
      </c>
      <c r="O76" s="5"/>
      <c r="P76" s="5">
        <v>3603.75</v>
      </c>
      <c r="Q76" s="5"/>
      <c r="R76" s="5">
        <v>3005.31</v>
      </c>
      <c r="AB76">
        <f t="shared" si="2"/>
        <v>75</v>
      </c>
      <c r="AC76" s="5">
        <v>0.83320000000000005</v>
      </c>
      <c r="AD76" s="5">
        <v>0.94730000000000003</v>
      </c>
      <c r="AE76" s="5">
        <v>0.92679999999999996</v>
      </c>
      <c r="AJ76">
        <v>0.5</v>
      </c>
      <c r="AK76">
        <v>0</v>
      </c>
      <c r="AL76" s="15">
        <v>0</v>
      </c>
      <c r="AM76">
        <v>0.8</v>
      </c>
      <c r="AN76">
        <v>28</v>
      </c>
      <c r="AO76" s="15">
        <v>0.36363636363636365</v>
      </c>
    </row>
    <row r="77" spans="1:41" x14ac:dyDescent="0.35">
      <c r="A77" s="2">
        <v>7</v>
      </c>
      <c r="B77" s="2">
        <v>3</v>
      </c>
      <c r="C77" s="4">
        <v>-6882.1312700112021</v>
      </c>
      <c r="D77" s="4">
        <v>-3364.4207886380041</v>
      </c>
      <c r="E77" s="4">
        <v>-471.51251979574818</v>
      </c>
      <c r="F77" s="5"/>
      <c r="G77" s="5">
        <v>0.82240000000000002</v>
      </c>
      <c r="H77" s="5">
        <v>1338.89</v>
      </c>
      <c r="I77" s="5">
        <v>1.7761800000000001</v>
      </c>
      <c r="J77" s="5">
        <v>0.99863500000000005</v>
      </c>
      <c r="K77" s="5">
        <v>2.68486</v>
      </c>
      <c r="N77" s="5">
        <v>6774.39</v>
      </c>
      <c r="O77" s="5"/>
      <c r="P77" s="5">
        <v>2492.98</v>
      </c>
      <c r="Q77" s="5"/>
      <c r="R77" s="5">
        <v>1036.44</v>
      </c>
      <c r="AB77">
        <f t="shared" si="2"/>
        <v>76</v>
      </c>
      <c r="AC77" s="5">
        <v>0.70799999999999996</v>
      </c>
      <c r="AD77" s="5">
        <v>0.76700000000000002</v>
      </c>
      <c r="AE77" s="5">
        <v>0.96550000000000002</v>
      </c>
      <c r="AJ77">
        <v>0.6</v>
      </c>
      <c r="AK77">
        <v>0</v>
      </c>
      <c r="AL77" s="15">
        <v>0</v>
      </c>
      <c r="AM77">
        <v>0.9</v>
      </c>
      <c r="AN77">
        <v>28</v>
      </c>
      <c r="AO77" s="15">
        <v>0.72727272727272729</v>
      </c>
    </row>
    <row r="78" spans="1:41" x14ac:dyDescent="0.35">
      <c r="A78" s="2">
        <v>7</v>
      </c>
      <c r="B78" s="2">
        <v>4</v>
      </c>
      <c r="C78" s="4">
        <v>-2528.1164255122439</v>
      </c>
      <c r="D78" s="4">
        <v>459.38735903433252</v>
      </c>
      <c r="E78" s="4">
        <v>-1266.3575946293111</v>
      </c>
      <c r="AB78">
        <f>AB77+1</f>
        <v>77</v>
      </c>
      <c r="AC78" s="5">
        <v>0.8448</v>
      </c>
      <c r="AD78" s="5">
        <v>0.8095</v>
      </c>
      <c r="AE78" s="5">
        <v>0.75629999999999997</v>
      </c>
      <c r="AJ78">
        <v>0.7</v>
      </c>
      <c r="AK78">
        <v>14</v>
      </c>
      <c r="AL78" s="15">
        <v>0.18181818181818182</v>
      </c>
      <c r="AM78">
        <v>0.7</v>
      </c>
      <c r="AN78">
        <v>14</v>
      </c>
      <c r="AO78" s="15">
        <v>0.90909090909090906</v>
      </c>
    </row>
    <row r="79" spans="1:41" x14ac:dyDescent="0.35">
      <c r="A79" s="2">
        <v>7</v>
      </c>
      <c r="B79" s="2">
        <v>5</v>
      </c>
      <c r="C79" s="4">
        <v>-5090.8065626859789</v>
      </c>
      <c r="D79" s="4">
        <v>-848.82709979227059</v>
      </c>
      <c r="E79" s="4">
        <v>-2177.057085638854</v>
      </c>
      <c r="AJ79">
        <v>0.8</v>
      </c>
      <c r="AK79">
        <v>28</v>
      </c>
      <c r="AL79" s="15">
        <v>0.54545454545454541</v>
      </c>
      <c r="AM79">
        <v>1</v>
      </c>
      <c r="AN79">
        <v>7</v>
      </c>
      <c r="AO79" s="15">
        <v>1</v>
      </c>
    </row>
    <row r="80" spans="1:41" ht="15" thickBot="1" x14ac:dyDescent="0.4">
      <c r="A80" s="2">
        <v>7</v>
      </c>
      <c r="B80" s="2">
        <v>6</v>
      </c>
      <c r="C80" s="4">
        <v>-1492.240699357448</v>
      </c>
      <c r="D80" s="4">
        <v>1674.487271864248</v>
      </c>
      <c r="E80" s="4">
        <v>-1600.7788419788219</v>
      </c>
      <c r="M80" t="s">
        <v>114</v>
      </c>
      <c r="N80">
        <f>AVERAGE(N3:N77)</f>
        <v>7484.618307692308</v>
      </c>
      <c r="O80" t="e">
        <f t="shared" ref="O80:R80" si="3">AVERAGE(O3:O77)</f>
        <v>#DIV/0!</v>
      </c>
      <c r="P80">
        <f t="shared" si="3"/>
        <v>3510.5404772727284</v>
      </c>
      <c r="Q80" t="e">
        <f t="shared" si="3"/>
        <v>#DIV/0!</v>
      </c>
      <c r="R80">
        <f t="shared" si="3"/>
        <v>2274.5326379310345</v>
      </c>
      <c r="S80">
        <v>2974</v>
      </c>
      <c r="AC80" t="s">
        <v>90</v>
      </c>
      <c r="AJ80">
        <v>0.9</v>
      </c>
      <c r="AK80">
        <v>28</v>
      </c>
      <c r="AL80" s="15">
        <v>0.90909090909090906</v>
      </c>
      <c r="AM80">
        <v>0.5</v>
      </c>
      <c r="AN80">
        <v>0</v>
      </c>
      <c r="AO80" s="15">
        <v>1</v>
      </c>
    </row>
    <row r="81" spans="1:41" x14ac:dyDescent="0.35">
      <c r="A81" s="2">
        <v>7</v>
      </c>
      <c r="B81" s="2">
        <v>7</v>
      </c>
      <c r="C81" s="4">
        <v>-923.35277737838533</v>
      </c>
      <c r="D81" s="4">
        <v>1694.3871247424231</v>
      </c>
      <c r="E81" s="4">
        <v>-1503.101810617474</v>
      </c>
      <c r="M81" t="s">
        <v>115</v>
      </c>
      <c r="N81">
        <f>STDEVA(N3:N77)</f>
        <v>6474.1722543430033</v>
      </c>
      <c r="O81" t="e">
        <f t="shared" ref="O81:R81" si="4">STDEVA(O3:O77)</f>
        <v>#DIV/0!</v>
      </c>
      <c r="P81">
        <f t="shared" si="4"/>
        <v>3203.1233158799046</v>
      </c>
      <c r="Q81" t="e">
        <f t="shared" si="4"/>
        <v>#DIV/0!</v>
      </c>
      <c r="R81">
        <f t="shared" si="4"/>
        <v>1946.1626527327619</v>
      </c>
      <c r="AC81" s="18"/>
      <c r="AD81" s="18" t="s">
        <v>84</v>
      </c>
      <c r="AE81" s="18" t="s">
        <v>85</v>
      </c>
      <c r="AF81" s="18" t="s">
        <v>86</v>
      </c>
      <c r="AJ81">
        <v>1</v>
      </c>
      <c r="AK81">
        <v>7</v>
      </c>
      <c r="AL81" s="15">
        <v>1</v>
      </c>
      <c r="AM81">
        <v>0.6</v>
      </c>
      <c r="AN81">
        <v>0</v>
      </c>
      <c r="AO81" s="15">
        <v>1</v>
      </c>
    </row>
    <row r="82" spans="1:41" ht="15" thickBot="1" x14ac:dyDescent="0.4">
      <c r="A82" s="2">
        <v>7</v>
      </c>
      <c r="B82" s="2">
        <v>8</v>
      </c>
      <c r="C82" s="4">
        <v>1071.7745986418061</v>
      </c>
      <c r="D82" s="4">
        <v>3110.648072235022</v>
      </c>
      <c r="E82" s="4">
        <v>-127.92324977177501</v>
      </c>
      <c r="F82" s="3" t="s">
        <v>2</v>
      </c>
      <c r="G82" s="5" t="s">
        <v>5</v>
      </c>
      <c r="H82" s="5" t="s">
        <v>6</v>
      </c>
      <c r="I82" s="5" t="s">
        <v>7</v>
      </c>
      <c r="J82" s="5" t="s">
        <v>8</v>
      </c>
      <c r="K82" s="5" t="s">
        <v>9</v>
      </c>
      <c r="AC82" t="s">
        <v>84</v>
      </c>
      <c r="AD82">
        <v>1</v>
      </c>
      <c r="AJ82" s="16" t="s">
        <v>57</v>
      </c>
      <c r="AK82" s="16">
        <v>0</v>
      </c>
      <c r="AL82" s="17">
        <v>1</v>
      </c>
      <c r="AM82" s="16" t="s">
        <v>57</v>
      </c>
      <c r="AN82" s="16">
        <v>0</v>
      </c>
      <c r="AO82" s="17">
        <v>1</v>
      </c>
    </row>
    <row r="83" spans="1:41" x14ac:dyDescent="0.35">
      <c r="A83" s="2">
        <v>7</v>
      </c>
      <c r="B83" s="2">
        <v>9</v>
      </c>
      <c r="C83" s="4">
        <v>3582.6123212437478</v>
      </c>
      <c r="D83" s="4">
        <v>4594.7633794058074</v>
      </c>
      <c r="E83" s="4">
        <v>1864.6154381980091</v>
      </c>
      <c r="F83" s="6"/>
      <c r="G83" s="5">
        <v>0.76719999999999999</v>
      </c>
      <c r="H83" s="5">
        <v>4335.47</v>
      </c>
      <c r="I83" s="5">
        <v>1.8174600000000001</v>
      </c>
      <c r="J83" s="5">
        <v>6.6391900000000004E-2</v>
      </c>
      <c r="K83" s="5">
        <v>2.10487</v>
      </c>
      <c r="N83" s="9">
        <v>1</v>
      </c>
      <c r="O83" s="9"/>
      <c r="P83" s="9">
        <f>P80/N80</f>
        <v>0.4690340018628304</v>
      </c>
      <c r="Q83" s="9"/>
      <c r="R83" s="9">
        <f>R80/N80</f>
        <v>0.30389427281727727</v>
      </c>
      <c r="S83">
        <f>S80/N80</f>
        <v>0.39734825180643812</v>
      </c>
      <c r="AC83" t="s">
        <v>85</v>
      </c>
      <c r="AD83">
        <v>-8.527872807105577E-2</v>
      </c>
      <c r="AE83">
        <v>1</v>
      </c>
    </row>
    <row r="84" spans="1:41" ht="15" thickBot="1" x14ac:dyDescent="0.4">
      <c r="A84" s="2">
        <v>7</v>
      </c>
      <c r="B84" s="2">
        <v>10</v>
      </c>
      <c r="C84" s="4">
        <v>-2014.437065923307</v>
      </c>
      <c r="D84" s="4">
        <v>-2475.5820142240432</v>
      </c>
      <c r="E84" s="4">
        <v>2252.2587707179669</v>
      </c>
      <c r="F84" s="6" t="s">
        <v>3</v>
      </c>
      <c r="G84" s="5"/>
      <c r="H84" s="5"/>
      <c r="I84" s="5"/>
      <c r="J84" s="5"/>
      <c r="K84" s="5"/>
      <c r="M84" t="s">
        <v>116</v>
      </c>
      <c r="N84">
        <v>1</v>
      </c>
      <c r="AC84" s="16" t="s">
        <v>86</v>
      </c>
      <c r="AD84" s="16">
        <v>2.1343970785279668E-2</v>
      </c>
      <c r="AE84" s="16">
        <v>1.4287746895794151E-2</v>
      </c>
      <c r="AF84" s="16">
        <v>1</v>
      </c>
    </row>
    <row r="85" spans="1:41" x14ac:dyDescent="0.35">
      <c r="F85" s="6"/>
      <c r="G85" s="5">
        <v>0.75309999999999999</v>
      </c>
      <c r="H85" s="5">
        <v>5586.09</v>
      </c>
      <c r="I85" s="5">
        <v>1.7234499999999999</v>
      </c>
      <c r="J85" s="5">
        <v>-0.20327000000000001</v>
      </c>
      <c r="K85" s="5">
        <v>1.01057</v>
      </c>
    </row>
    <row r="86" spans="1:41" x14ac:dyDescent="0.35">
      <c r="F86" s="6" t="s">
        <v>4</v>
      </c>
      <c r="G86" s="5"/>
      <c r="H86" s="5"/>
      <c r="I86" s="5"/>
      <c r="J86" s="5"/>
      <c r="K86" s="5"/>
      <c r="N86" s="32">
        <v>7.5</v>
      </c>
      <c r="P86" s="32">
        <v>3.8</v>
      </c>
      <c r="R86" s="32">
        <v>3</v>
      </c>
    </row>
    <row r="87" spans="1:41" x14ac:dyDescent="0.35">
      <c r="A87" s="2">
        <v>8</v>
      </c>
      <c r="B87" s="2">
        <v>1</v>
      </c>
      <c r="C87" s="4">
        <v>8573.571471916357</v>
      </c>
      <c r="D87" s="4">
        <v>5017.9581814653166</v>
      </c>
      <c r="E87" s="4">
        <v>1560.373101930136</v>
      </c>
      <c r="F87" s="5"/>
      <c r="G87" s="5">
        <v>0.628</v>
      </c>
      <c r="H87" s="5">
        <v>1259.8</v>
      </c>
      <c r="I87" s="5">
        <v>1.9093</v>
      </c>
      <c r="J87" s="5">
        <v>0.96398899999999998</v>
      </c>
      <c r="K87" s="5">
        <v>2.69679</v>
      </c>
    </row>
    <row r="88" spans="1:41" x14ac:dyDescent="0.35">
      <c r="A88" s="2">
        <v>8</v>
      </c>
      <c r="B88" s="2">
        <v>2</v>
      </c>
      <c r="C88" s="4">
        <v>-3622.79495321282</v>
      </c>
      <c r="D88" s="4">
        <v>5767.1365345666791</v>
      </c>
      <c r="E88" s="4">
        <v>-2853.0805627190689</v>
      </c>
      <c r="N88" s="33">
        <v>1</v>
      </c>
      <c r="O88" s="33"/>
      <c r="P88" s="33">
        <f>P86/N86</f>
        <v>0.5066666666666666</v>
      </c>
      <c r="Q88" s="33"/>
      <c r="R88" s="33">
        <f>R86/N86</f>
        <v>0.4</v>
      </c>
    </row>
    <row r="89" spans="1:41" x14ac:dyDescent="0.35">
      <c r="A89" s="2">
        <v>8</v>
      </c>
      <c r="B89" s="2">
        <v>3</v>
      </c>
      <c r="C89" s="4">
        <v>-1199.012550250487</v>
      </c>
      <c r="D89" s="4">
        <v>-483.07119581088261</v>
      </c>
      <c r="E89" s="4">
        <v>-1532.4275609144941</v>
      </c>
      <c r="AC89" t="s">
        <v>61</v>
      </c>
    </row>
    <row r="90" spans="1:41" x14ac:dyDescent="0.35">
      <c r="A90" s="2">
        <v>8</v>
      </c>
      <c r="B90" s="2">
        <v>4</v>
      </c>
      <c r="C90" s="4">
        <v>-56.481070292173833</v>
      </c>
      <c r="D90" s="4">
        <v>-2395.901098260962</v>
      </c>
      <c r="E90" s="4">
        <v>859.06621322109186</v>
      </c>
    </row>
    <row r="91" spans="1:41" ht="15" thickBot="1" x14ac:dyDescent="0.4">
      <c r="A91" s="2">
        <v>8</v>
      </c>
      <c r="B91" s="2">
        <v>5</v>
      </c>
      <c r="C91" s="4">
        <v>-3412.1771736670971</v>
      </c>
      <c r="D91" s="4">
        <v>423.11775561379318</v>
      </c>
      <c r="E91" s="4">
        <v>2888.36158209922</v>
      </c>
      <c r="AC91" t="s">
        <v>62</v>
      </c>
    </row>
    <row r="92" spans="1:41" x14ac:dyDescent="0.35">
      <c r="A92" s="2">
        <v>8</v>
      </c>
      <c r="B92" s="2">
        <v>6</v>
      </c>
      <c r="C92" s="4">
        <v>164.53183940156549</v>
      </c>
      <c r="D92" s="4">
        <v>-2612.844844262157</v>
      </c>
      <c r="E92" s="4">
        <v>1536.7730707883891</v>
      </c>
      <c r="F92" s="3" t="s">
        <v>2</v>
      </c>
      <c r="G92" s="5" t="s">
        <v>5</v>
      </c>
      <c r="H92" s="5" t="s">
        <v>6</v>
      </c>
      <c r="I92" s="5" t="s">
        <v>7</v>
      </c>
      <c r="J92" s="5" t="s">
        <v>8</v>
      </c>
      <c r="K92" s="5" t="s">
        <v>9</v>
      </c>
      <c r="AC92" s="18" t="s">
        <v>63</v>
      </c>
      <c r="AD92" s="18" t="s">
        <v>64</v>
      </c>
      <c r="AE92" s="18" t="s">
        <v>65</v>
      </c>
      <c r="AF92" s="18" t="s">
        <v>66</v>
      </c>
      <c r="AG92" s="18" t="s">
        <v>67</v>
      </c>
    </row>
    <row r="93" spans="1:41" x14ac:dyDescent="0.35">
      <c r="A93" s="2">
        <v>8</v>
      </c>
      <c r="B93" s="2">
        <v>7</v>
      </c>
      <c r="C93" s="4">
        <v>-3523.8410832512709</v>
      </c>
      <c r="D93" s="4">
        <v>899.07080821549221</v>
      </c>
      <c r="E93" s="4">
        <v>2805.0748620210111</v>
      </c>
      <c r="F93" s="6"/>
      <c r="G93" s="5">
        <v>0.77259999999999995</v>
      </c>
      <c r="H93" s="5">
        <v>6279.82</v>
      </c>
      <c r="I93" s="5">
        <v>0.90795999999999999</v>
      </c>
      <c r="J93" s="5">
        <v>1.63239</v>
      </c>
      <c r="K93" s="5">
        <v>1.55145</v>
      </c>
      <c r="AC93" t="s">
        <v>84</v>
      </c>
      <c r="AD93">
        <v>77</v>
      </c>
      <c r="AE93">
        <v>60.165700000000008</v>
      </c>
      <c r="AF93">
        <v>0.78137272727272733</v>
      </c>
      <c r="AG93">
        <v>4.8671341148325354E-3</v>
      </c>
    </row>
    <row r="94" spans="1:41" ht="15" thickBot="1" x14ac:dyDescent="0.4">
      <c r="A94" s="2">
        <v>8</v>
      </c>
      <c r="B94" s="2">
        <v>8</v>
      </c>
      <c r="C94" s="4">
        <v>916.10937365517486</v>
      </c>
      <c r="D94" s="4">
        <v>-2890.597339948567</v>
      </c>
      <c r="E94" s="4">
        <v>54.195874295154731</v>
      </c>
      <c r="F94" s="6" t="s">
        <v>3</v>
      </c>
      <c r="G94" s="5"/>
      <c r="H94" s="5"/>
      <c r="I94" s="5"/>
      <c r="J94" s="5"/>
      <c r="K94" s="5"/>
      <c r="AC94" s="16" t="s">
        <v>86</v>
      </c>
      <c r="AD94" s="16">
        <v>77</v>
      </c>
      <c r="AE94" s="16">
        <v>60.757200000000005</v>
      </c>
      <c r="AF94" s="16">
        <v>0.78905454545454556</v>
      </c>
      <c r="AG94" s="16">
        <v>6.8391754066987843E-3</v>
      </c>
    </row>
    <row r="95" spans="1:41" x14ac:dyDescent="0.35">
      <c r="A95" s="2">
        <v>8</v>
      </c>
      <c r="B95" s="2">
        <v>9</v>
      </c>
      <c r="C95" s="4">
        <v>3040.496819694079</v>
      </c>
      <c r="D95" s="4">
        <v>-4701.1281626836617</v>
      </c>
      <c r="E95" s="4">
        <v>-2741.0829548863489</v>
      </c>
      <c r="F95" s="6"/>
      <c r="G95" s="5">
        <v>0.83209999999999995</v>
      </c>
      <c r="H95" s="5">
        <v>8132.07</v>
      </c>
      <c r="I95" s="5">
        <v>3.0265599999999999</v>
      </c>
      <c r="J95" s="5">
        <v>-0.25733600000000001</v>
      </c>
      <c r="K95" s="5">
        <v>2.23041</v>
      </c>
    </row>
    <row r="96" spans="1:41" x14ac:dyDescent="0.35">
      <c r="A96" s="2">
        <v>8</v>
      </c>
      <c r="B96" s="2">
        <v>10</v>
      </c>
      <c r="C96" s="4">
        <v>-880.40267399253639</v>
      </c>
      <c r="D96" s="4">
        <v>976.25936110536611</v>
      </c>
      <c r="E96" s="4">
        <v>-2577.2536258348791</v>
      </c>
      <c r="F96" s="6" t="s">
        <v>4</v>
      </c>
      <c r="G96" s="5"/>
      <c r="H96" s="5"/>
      <c r="I96" s="5"/>
      <c r="J96" s="5"/>
      <c r="K96" s="5"/>
    </row>
    <row r="97" spans="1:35" ht="15" thickBot="1" x14ac:dyDescent="0.4">
      <c r="F97" s="5"/>
      <c r="G97" s="5">
        <v>0.75539999999999996</v>
      </c>
      <c r="H97" s="5">
        <v>1526.37</v>
      </c>
      <c r="I97" s="5">
        <v>1.8488100000000001</v>
      </c>
      <c r="J97" s="5">
        <v>0.73626800000000003</v>
      </c>
      <c r="K97" s="5">
        <v>2.6653899999999999</v>
      </c>
      <c r="AC97" t="s">
        <v>68</v>
      </c>
    </row>
    <row r="98" spans="1:35" x14ac:dyDescent="0.35">
      <c r="AC98" s="18" t="s">
        <v>69</v>
      </c>
      <c r="AD98" s="18" t="s">
        <v>70</v>
      </c>
      <c r="AE98" s="18" t="s">
        <v>71</v>
      </c>
      <c r="AF98" s="18" t="s">
        <v>72</v>
      </c>
      <c r="AG98" s="18" t="s">
        <v>73</v>
      </c>
      <c r="AH98" s="18" t="s">
        <v>74</v>
      </c>
      <c r="AI98" s="18" t="s">
        <v>75</v>
      </c>
    </row>
    <row r="99" spans="1:35" x14ac:dyDescent="0.35">
      <c r="A99" s="2">
        <v>9</v>
      </c>
      <c r="B99" s="2">
        <v>1</v>
      </c>
      <c r="C99" s="4">
        <v>9607.4010524000259</v>
      </c>
      <c r="D99" s="4">
        <v>7289.5128297681213</v>
      </c>
      <c r="E99" s="4">
        <v>-2826.685614875315</v>
      </c>
      <c r="AC99" t="s">
        <v>76</v>
      </c>
      <c r="AD99">
        <v>2.2718977272728758E-3</v>
      </c>
      <c r="AE99">
        <v>1</v>
      </c>
      <c r="AF99">
        <v>2.2718977272728758E-3</v>
      </c>
      <c r="AG99">
        <v>0.38814926652917131</v>
      </c>
      <c r="AH99">
        <v>0.5342074854007236</v>
      </c>
      <c r="AI99">
        <v>3.9033664964061376</v>
      </c>
    </row>
    <row r="100" spans="1:35" x14ac:dyDescent="0.35">
      <c r="A100" s="2">
        <v>9</v>
      </c>
      <c r="B100" s="2">
        <v>2</v>
      </c>
      <c r="C100" s="4">
        <v>5515.8046786248642</v>
      </c>
      <c r="D100" s="4">
        <v>-511.53311462474551</v>
      </c>
      <c r="E100" s="4">
        <v>5084.2572004477825</v>
      </c>
      <c r="AC100" t="s">
        <v>77</v>
      </c>
      <c r="AD100">
        <v>0.88967952363636371</v>
      </c>
      <c r="AE100">
        <v>152</v>
      </c>
      <c r="AF100">
        <v>5.8531547607655506E-3</v>
      </c>
    </row>
    <row r="101" spans="1:35" x14ac:dyDescent="0.35">
      <c r="A101" s="2">
        <v>9</v>
      </c>
      <c r="B101" s="2">
        <v>3</v>
      </c>
      <c r="C101" s="4">
        <v>-1938.66421968957</v>
      </c>
      <c r="D101" s="4">
        <v>-823.56498246308092</v>
      </c>
      <c r="E101" s="4">
        <v>-660.26583990024403</v>
      </c>
    </row>
    <row r="102" spans="1:35" ht="15" thickBot="1" x14ac:dyDescent="0.4">
      <c r="A102" s="2">
        <v>9</v>
      </c>
      <c r="B102" s="2">
        <v>4</v>
      </c>
      <c r="C102" s="4">
        <v>1897.179147600169</v>
      </c>
      <c r="D102" s="4">
        <v>-3925.5854160665008</v>
      </c>
      <c r="E102" s="4">
        <v>-731.4445322729639</v>
      </c>
      <c r="F102" s="3" t="s">
        <v>2</v>
      </c>
      <c r="G102" s="5" t="s">
        <v>5</v>
      </c>
      <c r="H102" s="5" t="s">
        <v>6</v>
      </c>
      <c r="I102" s="5" t="s">
        <v>7</v>
      </c>
      <c r="J102" s="5" t="s">
        <v>8</v>
      </c>
      <c r="K102" s="5" t="s">
        <v>9</v>
      </c>
      <c r="AC102" s="16" t="s">
        <v>78</v>
      </c>
      <c r="AD102" s="16">
        <v>0.89195142136363659</v>
      </c>
      <c r="AE102" s="16">
        <v>153</v>
      </c>
      <c r="AF102" s="16"/>
      <c r="AG102" s="16"/>
      <c r="AH102" s="16"/>
      <c r="AI102" s="16"/>
    </row>
    <row r="103" spans="1:35" ht="24" thickBot="1" x14ac:dyDescent="0.6">
      <c r="A103" s="2">
        <v>9</v>
      </c>
      <c r="B103" s="2">
        <v>5</v>
      </c>
      <c r="C103" s="4">
        <v>-4064.0898534172579</v>
      </c>
      <c r="D103" s="4">
        <v>-357.53063748404008</v>
      </c>
      <c r="E103" s="4">
        <v>-1618.450137477166</v>
      </c>
      <c r="F103" s="6"/>
      <c r="G103" s="5">
        <v>0.80940000000000001</v>
      </c>
      <c r="H103" s="5">
        <v>14840.4</v>
      </c>
      <c r="I103" s="5">
        <v>1.1250199999999999</v>
      </c>
      <c r="J103" s="5">
        <v>-2.3668499999999999</v>
      </c>
      <c r="K103" s="5">
        <v>0.58311500000000005</v>
      </c>
      <c r="AC103" s="24" t="s">
        <v>93</v>
      </c>
      <c r="AD103" s="16"/>
      <c r="AE103" s="16"/>
      <c r="AF103" s="16"/>
      <c r="AG103" s="16"/>
      <c r="AH103" s="16"/>
      <c r="AI103" s="16"/>
    </row>
    <row r="104" spans="1:35" ht="23.5" x14ac:dyDescent="0.55000000000000004">
      <c r="A104" s="2">
        <v>9</v>
      </c>
      <c r="B104" s="2">
        <v>6</v>
      </c>
      <c r="C104" s="4">
        <v>4522.03567490763</v>
      </c>
      <c r="D104" s="4">
        <v>-5674.5561658432189</v>
      </c>
      <c r="E104" s="4">
        <v>-689.73122547523985</v>
      </c>
      <c r="F104" s="6" t="s">
        <v>3</v>
      </c>
      <c r="G104" s="5"/>
      <c r="H104" s="5"/>
      <c r="I104" s="5"/>
      <c r="J104" s="5"/>
      <c r="K104" s="5"/>
      <c r="AC104" s="25" t="s">
        <v>94</v>
      </c>
    </row>
    <row r="105" spans="1:35" x14ac:dyDescent="0.35">
      <c r="A105" s="2">
        <v>9</v>
      </c>
      <c r="B105" s="2">
        <v>7</v>
      </c>
      <c r="C105" s="4">
        <v>431.78544698897571</v>
      </c>
      <c r="D105" s="4">
        <v>-2465.8425814876259</v>
      </c>
      <c r="E105" s="4">
        <v>-1302.48628079215</v>
      </c>
      <c r="F105" s="6"/>
      <c r="G105" s="5">
        <v>0.85329999999999995</v>
      </c>
      <c r="H105" s="5">
        <v>1451.72</v>
      </c>
      <c r="I105" s="5">
        <v>1.68927</v>
      </c>
      <c r="J105" s="5">
        <v>-0.23813000000000001</v>
      </c>
      <c r="K105" s="5">
        <v>2.49335</v>
      </c>
    </row>
    <row r="106" spans="1:35" x14ac:dyDescent="0.35">
      <c r="A106" s="2">
        <v>9</v>
      </c>
      <c r="B106" s="2">
        <v>8</v>
      </c>
      <c r="C106" s="4">
        <v>-8782.0166007075586</v>
      </c>
      <c r="D106" s="4">
        <v>2060.2346779238342</v>
      </c>
      <c r="E106" s="4">
        <v>-1605.3977603848471</v>
      </c>
      <c r="F106" s="6" t="s">
        <v>4</v>
      </c>
      <c r="G106" s="5"/>
      <c r="H106" s="5"/>
      <c r="I106" s="5"/>
      <c r="J106" s="5"/>
      <c r="K106" s="5"/>
    </row>
    <row r="107" spans="1:35" x14ac:dyDescent="0.35">
      <c r="A107" s="2">
        <v>9</v>
      </c>
      <c r="B107" s="2">
        <v>9</v>
      </c>
      <c r="C107" s="4">
        <v>-2966.1848117545542</v>
      </c>
      <c r="D107" s="4">
        <v>496.51202926807349</v>
      </c>
      <c r="E107" s="4">
        <v>475.87775555875299</v>
      </c>
      <c r="F107" s="5"/>
      <c r="G107" s="5">
        <v>0.7228</v>
      </c>
      <c r="H107" s="5">
        <v>4119.43</v>
      </c>
      <c r="I107" s="5">
        <v>1.8131299999999999</v>
      </c>
      <c r="J107" s="5">
        <v>-8.3383200000000005E-2</v>
      </c>
      <c r="K107" s="5">
        <v>0.68752500000000005</v>
      </c>
    </row>
    <row r="108" spans="1:35" x14ac:dyDescent="0.35">
      <c r="A108" s="2">
        <v>9</v>
      </c>
      <c r="B108" s="2">
        <v>10</v>
      </c>
      <c r="C108" s="4">
        <v>-4223.2505149529816</v>
      </c>
      <c r="D108" s="4">
        <v>3912.3533610087829</v>
      </c>
      <c r="E108" s="4">
        <v>3874.3264351714251</v>
      </c>
      <c r="AC108" t="s">
        <v>61</v>
      </c>
    </row>
    <row r="110" spans="1:35" ht="15" thickBot="1" x14ac:dyDescent="0.4">
      <c r="AC110" t="s">
        <v>62</v>
      </c>
    </row>
    <row r="111" spans="1:35" x14ac:dyDescent="0.35">
      <c r="A111" s="2">
        <v>10</v>
      </c>
      <c r="B111" s="2">
        <v>1</v>
      </c>
      <c r="C111" s="4">
        <v>-7992.4991412602994</v>
      </c>
      <c r="D111" s="4">
        <v>10514.003383558749</v>
      </c>
      <c r="E111" s="4">
        <v>-3877.043730428154</v>
      </c>
      <c r="AC111" s="18" t="s">
        <v>63</v>
      </c>
      <c r="AD111" s="18" t="s">
        <v>64</v>
      </c>
      <c r="AE111" s="18" t="s">
        <v>65</v>
      </c>
      <c r="AF111" s="18" t="s">
        <v>66</v>
      </c>
      <c r="AG111" s="18" t="s">
        <v>67</v>
      </c>
    </row>
    <row r="112" spans="1:35" x14ac:dyDescent="0.35">
      <c r="A112" s="2">
        <v>10</v>
      </c>
      <c r="B112" s="2">
        <v>2</v>
      </c>
      <c r="C112" s="4">
        <v>3097.3605875987878</v>
      </c>
      <c r="D112" s="4">
        <v>4692.9168808530849</v>
      </c>
      <c r="E112" s="4">
        <v>4349.0263780649029</v>
      </c>
      <c r="F112" s="3" t="s">
        <v>2</v>
      </c>
      <c r="G112" s="5" t="s">
        <v>5</v>
      </c>
      <c r="H112" s="5" t="s">
        <v>6</v>
      </c>
      <c r="I112" s="5" t="s">
        <v>7</v>
      </c>
      <c r="J112" s="5" t="s">
        <v>8</v>
      </c>
      <c r="K112" s="5" t="s">
        <v>9</v>
      </c>
      <c r="AC112" t="s">
        <v>86</v>
      </c>
      <c r="AD112">
        <v>77</v>
      </c>
      <c r="AE112">
        <v>60.757200000000005</v>
      </c>
      <c r="AF112">
        <v>0.78905454545454556</v>
      </c>
      <c r="AG112">
        <v>6.8391754066987843E-3</v>
      </c>
    </row>
    <row r="113" spans="1:35" ht="15" thickBot="1" x14ac:dyDescent="0.4">
      <c r="A113" s="2">
        <v>10</v>
      </c>
      <c r="B113" s="2">
        <v>3</v>
      </c>
      <c r="C113" s="4">
        <v>-7620.8990366769931</v>
      </c>
      <c r="D113" s="4">
        <v>-5401.3521713892096</v>
      </c>
      <c r="E113" s="4">
        <v>2041.354050896949</v>
      </c>
      <c r="F113" s="6"/>
      <c r="G113" s="5">
        <v>0.73350000000000004</v>
      </c>
      <c r="H113" s="5">
        <v>5266.43</v>
      </c>
      <c r="I113" s="5">
        <v>0.510023</v>
      </c>
      <c r="J113" s="5">
        <v>-2.9385599999999998</v>
      </c>
      <c r="K113" s="5">
        <v>1.6969799999999999</v>
      </c>
      <c r="AC113" s="16" t="s">
        <v>85</v>
      </c>
      <c r="AD113" s="16">
        <v>77</v>
      </c>
      <c r="AE113" s="16">
        <v>65.898200000000017</v>
      </c>
      <c r="AF113" s="16">
        <v>0.85582077922077948</v>
      </c>
      <c r="AG113" s="16">
        <v>9.0612508783319418E-3</v>
      </c>
    </row>
    <row r="114" spans="1:35" x14ac:dyDescent="0.35">
      <c r="A114" s="2">
        <v>10</v>
      </c>
      <c r="B114" s="2">
        <v>4</v>
      </c>
      <c r="C114" s="4">
        <v>1472.9303418518989</v>
      </c>
      <c r="D114" s="4">
        <v>-2546.5797365709609</v>
      </c>
      <c r="E114" s="4">
        <v>-872.43913159308909</v>
      </c>
      <c r="F114" s="6" t="s">
        <v>3</v>
      </c>
      <c r="G114" s="5"/>
      <c r="H114" s="5"/>
      <c r="I114" s="5"/>
      <c r="J114" s="5"/>
      <c r="K114" s="5"/>
    </row>
    <row r="115" spans="1:35" x14ac:dyDescent="0.35">
      <c r="A115" s="2">
        <v>10</v>
      </c>
      <c r="B115" s="2">
        <v>5</v>
      </c>
      <c r="C115" s="4">
        <v>-4384.5325197986258</v>
      </c>
      <c r="D115" s="4">
        <v>-5419.4816491545098</v>
      </c>
      <c r="E115" s="4">
        <v>-602.43464208032924</v>
      </c>
      <c r="F115" s="6"/>
      <c r="G115" s="5">
        <v>0.96279999999999999</v>
      </c>
      <c r="H115" s="5">
        <v>3330.57</v>
      </c>
      <c r="I115" s="5">
        <v>1.25725</v>
      </c>
      <c r="J115" s="5">
        <v>-2.1096900000000001</v>
      </c>
      <c r="K115" s="5">
        <v>1.89836</v>
      </c>
    </row>
    <row r="116" spans="1:35" ht="15" thickBot="1" x14ac:dyDescent="0.4">
      <c r="A116" s="2">
        <v>10</v>
      </c>
      <c r="B116" s="2">
        <v>6</v>
      </c>
      <c r="C116" s="4">
        <v>-1453.59631853519</v>
      </c>
      <c r="D116" s="4">
        <v>-4008.2554344329919</v>
      </c>
      <c r="E116" s="4">
        <v>-1146.542611912231</v>
      </c>
      <c r="F116" s="6" t="s">
        <v>4</v>
      </c>
      <c r="G116" s="5"/>
      <c r="H116" s="5"/>
      <c r="I116" s="5"/>
      <c r="J116" s="5"/>
      <c r="K116" s="5"/>
      <c r="AC116" t="s">
        <v>68</v>
      </c>
    </row>
    <row r="117" spans="1:35" x14ac:dyDescent="0.35">
      <c r="A117" s="2">
        <v>10</v>
      </c>
      <c r="B117" s="2">
        <v>7</v>
      </c>
      <c r="C117" s="4">
        <v>10885.80718386415</v>
      </c>
      <c r="D117" s="4">
        <v>723.32567589137864</v>
      </c>
      <c r="E117" s="4">
        <v>-2858.6921766470282</v>
      </c>
      <c r="F117" s="5"/>
      <c r="G117" s="5">
        <v>0.82740000000000002</v>
      </c>
      <c r="H117" s="5">
        <v>2069.9899999999998</v>
      </c>
      <c r="I117" s="5">
        <v>2.5563199999999999</v>
      </c>
      <c r="J117" s="5">
        <v>2.5563199999999999</v>
      </c>
      <c r="K117" s="5">
        <v>1.36435</v>
      </c>
      <c r="AC117" s="18" t="s">
        <v>69</v>
      </c>
      <c r="AD117" s="18" t="s">
        <v>70</v>
      </c>
      <c r="AE117" s="18" t="s">
        <v>71</v>
      </c>
      <c r="AF117" s="18" t="s">
        <v>72</v>
      </c>
      <c r="AG117" s="18" t="s">
        <v>73</v>
      </c>
      <c r="AH117" s="18" t="s">
        <v>74</v>
      </c>
      <c r="AI117" s="18" t="s">
        <v>75</v>
      </c>
    </row>
    <row r="118" spans="1:35" x14ac:dyDescent="0.35">
      <c r="A118" s="2">
        <v>10</v>
      </c>
      <c r="B118" s="2">
        <v>8</v>
      </c>
      <c r="C118" s="4">
        <v>3509.5244044942419</v>
      </c>
      <c r="D118" s="4">
        <v>-2141.618908786013</v>
      </c>
      <c r="E118" s="4">
        <v>-1375.3772614593249</v>
      </c>
      <c r="AC118" t="s">
        <v>76</v>
      </c>
      <c r="AD118">
        <v>0.17162260389610373</v>
      </c>
      <c r="AE118">
        <v>1</v>
      </c>
      <c r="AF118">
        <v>0.17162260389610373</v>
      </c>
      <c r="AG118">
        <v>21.587170157529108</v>
      </c>
      <c r="AH118">
        <v>7.2734051800670082E-6</v>
      </c>
      <c r="AI118">
        <v>3.9033664964061376</v>
      </c>
    </row>
    <row r="119" spans="1:35" x14ac:dyDescent="0.35">
      <c r="A119" s="2">
        <v>10</v>
      </c>
      <c r="B119" s="2">
        <v>9</v>
      </c>
      <c r="C119" s="4">
        <v>1598.2208388911531</v>
      </c>
      <c r="D119" s="4">
        <v>-1470.8240798598131</v>
      </c>
      <c r="E119" s="4">
        <v>236.23855583060629</v>
      </c>
      <c r="AC119" t="s">
        <v>77</v>
      </c>
      <c r="AD119">
        <v>1.2084323976623379</v>
      </c>
      <c r="AE119">
        <v>152</v>
      </c>
      <c r="AF119">
        <v>7.9502131425153808E-3</v>
      </c>
    </row>
    <row r="120" spans="1:35" x14ac:dyDescent="0.35">
      <c r="A120" s="2">
        <v>10</v>
      </c>
      <c r="B120" s="2">
        <v>10</v>
      </c>
      <c r="C120" s="4">
        <v>887.68365956932655</v>
      </c>
      <c r="D120" s="4">
        <v>5057.8660398897337</v>
      </c>
      <c r="E120" s="4">
        <v>4105.9105693273332</v>
      </c>
    </row>
    <row r="121" spans="1:35" ht="15" thickBot="1" x14ac:dyDescent="0.4">
      <c r="AC121" s="16" t="s">
        <v>78</v>
      </c>
      <c r="AD121" s="16">
        <v>1.3800550015584416</v>
      </c>
      <c r="AE121" s="16">
        <v>153</v>
      </c>
      <c r="AF121" s="16"/>
      <c r="AG121" s="16"/>
      <c r="AH121" s="16"/>
      <c r="AI121" s="16"/>
    </row>
    <row r="122" spans="1:35" x14ac:dyDescent="0.35">
      <c r="F122" s="14" t="s">
        <v>2</v>
      </c>
      <c r="G122" s="5" t="s">
        <v>5</v>
      </c>
      <c r="H122" s="5" t="s">
        <v>6</v>
      </c>
      <c r="I122" s="5" t="s">
        <v>7</v>
      </c>
      <c r="J122" s="5" t="s">
        <v>8</v>
      </c>
      <c r="K122" s="5" t="s">
        <v>9</v>
      </c>
    </row>
    <row r="123" spans="1:35" ht="24" thickBot="1" x14ac:dyDescent="0.6">
      <c r="A123" s="2">
        <v>11</v>
      </c>
      <c r="B123" s="2">
        <v>1</v>
      </c>
      <c r="C123" s="4">
        <v>-6028.6600681983446</v>
      </c>
      <c r="D123" s="4">
        <v>-2525.4399491291852</v>
      </c>
      <c r="E123" s="4">
        <v>4120.757182272072</v>
      </c>
      <c r="F123" s="6"/>
      <c r="G123" s="5">
        <v>0.78949999999999998</v>
      </c>
      <c r="H123" s="5">
        <v>8292.58</v>
      </c>
      <c r="I123" s="5">
        <v>2.4359000000000002</v>
      </c>
      <c r="J123" s="5">
        <v>0.84597</v>
      </c>
      <c r="K123" s="5">
        <v>1.3646400000000001</v>
      </c>
      <c r="AC123" s="24" t="s">
        <v>95</v>
      </c>
      <c r="AD123" s="16"/>
    </row>
    <row r="124" spans="1:35" ht="23.5" x14ac:dyDescent="0.55000000000000004">
      <c r="A124" s="2">
        <v>11</v>
      </c>
      <c r="B124" s="2">
        <v>2</v>
      </c>
      <c r="C124" s="4">
        <v>-3462.0792240393089</v>
      </c>
      <c r="D124" s="4">
        <v>-2540.8338399830031</v>
      </c>
      <c r="E124" s="4">
        <v>-2068.4433653008132</v>
      </c>
      <c r="F124" s="6" t="s">
        <v>3</v>
      </c>
      <c r="G124" s="5"/>
      <c r="H124" s="5"/>
      <c r="I124" s="5"/>
      <c r="J124" s="5"/>
      <c r="K124" s="5"/>
      <c r="AC124" s="25" t="s">
        <v>96</v>
      </c>
    </row>
    <row r="125" spans="1:35" x14ac:dyDescent="0.35">
      <c r="A125" s="2">
        <v>11</v>
      </c>
      <c r="B125" s="2">
        <v>3</v>
      </c>
      <c r="C125" s="4">
        <v>-5611.8970136831458</v>
      </c>
      <c r="D125" s="4">
        <v>2992.1921540661392</v>
      </c>
      <c r="E125" s="4">
        <v>-1409.245430659412</v>
      </c>
      <c r="F125" s="6"/>
      <c r="G125" s="5">
        <v>0.88790000000000002</v>
      </c>
      <c r="H125" s="5">
        <v>9642.64</v>
      </c>
      <c r="I125" s="5">
        <v>2.4892699999999999</v>
      </c>
      <c r="J125" s="5">
        <v>0.243452</v>
      </c>
      <c r="K125" s="5">
        <v>3.0879500000000002</v>
      </c>
    </row>
    <row r="126" spans="1:35" x14ac:dyDescent="0.35">
      <c r="A126" s="2">
        <v>11</v>
      </c>
      <c r="B126" s="2">
        <v>4</v>
      </c>
      <c r="C126" s="4">
        <v>5936.733977112538</v>
      </c>
      <c r="D126" s="4">
        <v>-871.84741087190548</v>
      </c>
      <c r="E126" s="4">
        <v>-273.50596932448462</v>
      </c>
      <c r="F126" s="6" t="s">
        <v>4</v>
      </c>
      <c r="G126" s="5"/>
      <c r="H126" s="5"/>
      <c r="I126" s="5"/>
      <c r="J126" s="5"/>
      <c r="K126" s="5"/>
    </row>
    <row r="127" spans="1:35" x14ac:dyDescent="0.35">
      <c r="A127" s="2">
        <v>11</v>
      </c>
      <c r="B127" s="2">
        <v>5</v>
      </c>
      <c r="C127" s="4">
        <v>922.89192885074181</v>
      </c>
      <c r="D127" s="4">
        <v>2438.5704212777409</v>
      </c>
      <c r="E127" s="4">
        <v>827.30177537049087</v>
      </c>
      <c r="F127" s="5"/>
      <c r="G127" s="5">
        <v>0.90190000000000003</v>
      </c>
      <c r="H127" s="5">
        <v>4013.27</v>
      </c>
      <c r="I127" s="5">
        <v>2.1430799999999999</v>
      </c>
      <c r="J127" s="5">
        <v>0.49901800000000002</v>
      </c>
      <c r="K127" s="5">
        <v>0.934222</v>
      </c>
    </row>
    <row r="128" spans="1:35" x14ac:dyDescent="0.35">
      <c r="A128" s="2">
        <v>11</v>
      </c>
      <c r="B128" s="2">
        <v>6</v>
      </c>
      <c r="C128" s="4">
        <v>-558.57491632284439</v>
      </c>
      <c r="D128" s="4">
        <v>3456.2647613628851</v>
      </c>
      <c r="E128" s="4">
        <v>1333.381575531231</v>
      </c>
    </row>
    <row r="129" spans="1:35" x14ac:dyDescent="0.35">
      <c r="A129" s="2">
        <v>11</v>
      </c>
      <c r="B129" s="2">
        <v>7</v>
      </c>
      <c r="C129" s="4">
        <v>8115.3663019698433</v>
      </c>
      <c r="D129" s="4">
        <v>-557.27511530575998</v>
      </c>
      <c r="E129" s="4">
        <v>357.18952348538181</v>
      </c>
    </row>
    <row r="130" spans="1:35" x14ac:dyDescent="0.35">
      <c r="A130" s="2">
        <v>11</v>
      </c>
      <c r="B130" s="2">
        <v>8</v>
      </c>
      <c r="C130" s="4">
        <v>6699.6667335872198</v>
      </c>
      <c r="D130" s="4">
        <v>-791.9975578088787</v>
      </c>
      <c r="E130" s="4">
        <v>-77.265599140682653</v>
      </c>
      <c r="AC130" t="s">
        <v>61</v>
      </c>
    </row>
    <row r="131" spans="1:35" x14ac:dyDescent="0.35">
      <c r="A131" s="2">
        <v>11</v>
      </c>
      <c r="B131" s="2">
        <v>9</v>
      </c>
      <c r="C131" s="4">
        <v>-1650.5105203051919</v>
      </c>
      <c r="D131" s="4">
        <v>175.4038991196158</v>
      </c>
      <c r="E131" s="4">
        <v>-1203.224834464442</v>
      </c>
    </row>
    <row r="132" spans="1:35" ht="15" thickBot="1" x14ac:dyDescent="0.4">
      <c r="A132" s="2">
        <v>11</v>
      </c>
      <c r="B132" s="2">
        <v>10</v>
      </c>
      <c r="C132" s="4">
        <v>-4362.9371989711226</v>
      </c>
      <c r="D132" s="4">
        <v>-1775.0373627282661</v>
      </c>
      <c r="E132" s="4">
        <v>-1606.9448577690291</v>
      </c>
      <c r="F132" s="3" t="s">
        <v>2</v>
      </c>
      <c r="G132" s="11" t="s">
        <v>5</v>
      </c>
      <c r="H132" s="11" t="s">
        <v>6</v>
      </c>
      <c r="I132" s="11" t="s">
        <v>7</v>
      </c>
      <c r="J132" s="11" t="s">
        <v>8</v>
      </c>
      <c r="K132" s="11" t="s">
        <v>9</v>
      </c>
      <c r="AC132" t="s">
        <v>62</v>
      </c>
    </row>
    <row r="133" spans="1:35" x14ac:dyDescent="0.35">
      <c r="F133" s="12"/>
      <c r="G133" s="11">
        <v>0.74180000000000001</v>
      </c>
      <c r="H133" s="11">
        <v>3940.73</v>
      </c>
      <c r="I133" s="11">
        <v>2.2991000000000001</v>
      </c>
      <c r="J133" s="11">
        <v>1.2093</v>
      </c>
      <c r="K133" s="11">
        <v>1.6961599999999999</v>
      </c>
      <c r="AC133" s="18" t="s">
        <v>63</v>
      </c>
      <c r="AD133" s="18" t="s">
        <v>64</v>
      </c>
      <c r="AE133" s="18" t="s">
        <v>65</v>
      </c>
      <c r="AF133" s="18" t="s">
        <v>66</v>
      </c>
      <c r="AG133" s="18" t="s">
        <v>67</v>
      </c>
    </row>
    <row r="134" spans="1:35" x14ac:dyDescent="0.35">
      <c r="F134" s="12" t="s">
        <v>3</v>
      </c>
      <c r="G134" s="11"/>
      <c r="H134" s="11"/>
      <c r="I134" s="11"/>
      <c r="J134" s="11"/>
      <c r="K134" s="11"/>
      <c r="AC134" t="s">
        <v>2</v>
      </c>
      <c r="AD134">
        <v>77</v>
      </c>
      <c r="AE134">
        <v>60.165700000000008</v>
      </c>
      <c r="AF134">
        <v>0.78137272727272733</v>
      </c>
      <c r="AG134">
        <v>4.8671341148325354E-3</v>
      </c>
    </row>
    <row r="135" spans="1:35" x14ac:dyDescent="0.35">
      <c r="A135" s="2">
        <v>12</v>
      </c>
      <c r="B135" s="2">
        <v>1</v>
      </c>
      <c r="C135" s="4">
        <v>12816.88874882148</v>
      </c>
      <c r="D135" s="4">
        <v>2080.84306895502</v>
      </c>
      <c r="E135" s="4">
        <v>-145.77919750746531</v>
      </c>
      <c r="F135" s="12"/>
      <c r="G135" s="11">
        <v>0.96540000000000004</v>
      </c>
      <c r="H135" s="11">
        <v>1301.93</v>
      </c>
      <c r="I135" s="11">
        <v>2.4361600000000001</v>
      </c>
      <c r="J135" s="11">
        <v>0.100747</v>
      </c>
      <c r="K135" s="11">
        <v>2.8891</v>
      </c>
    </row>
    <row r="136" spans="1:35" x14ac:dyDescent="0.35">
      <c r="A136" s="2">
        <v>12</v>
      </c>
      <c r="B136" s="2">
        <v>2</v>
      </c>
      <c r="C136" s="4">
        <v>-3184.7642605993001</v>
      </c>
      <c r="D136" s="4">
        <v>3250.4866558739359</v>
      </c>
      <c r="E136" s="4">
        <v>2980.8556301803501</v>
      </c>
      <c r="F136" s="10" t="s">
        <v>4</v>
      </c>
      <c r="G136" s="9"/>
      <c r="H136" s="9"/>
      <c r="I136" s="9"/>
      <c r="J136" s="9"/>
      <c r="K136" s="9"/>
      <c r="AC136" t="s">
        <v>3</v>
      </c>
      <c r="AD136">
        <v>77</v>
      </c>
      <c r="AE136">
        <v>65.898200000000017</v>
      </c>
      <c r="AF136">
        <v>0.85582077922077948</v>
      </c>
      <c r="AG136">
        <v>9.0612508783319418E-3</v>
      </c>
    </row>
    <row r="137" spans="1:35" x14ac:dyDescent="0.35">
      <c r="A137" s="2">
        <v>12</v>
      </c>
      <c r="B137" s="2">
        <v>3</v>
      </c>
      <c r="C137" s="4">
        <v>2443.6016418776612</v>
      </c>
      <c r="D137" s="4">
        <v>577.15695997211083</v>
      </c>
      <c r="E137" s="4">
        <v>-2813.4702613153249</v>
      </c>
      <c r="F137" s="9"/>
      <c r="G137" s="9">
        <v>0.80630000000000002</v>
      </c>
      <c r="H137" s="9"/>
      <c r="I137" s="9"/>
      <c r="J137" s="9"/>
      <c r="K137" s="9"/>
    </row>
    <row r="138" spans="1:35" ht="15" thickBot="1" x14ac:dyDescent="0.4">
      <c r="A138" s="2">
        <v>12</v>
      </c>
      <c r="B138" s="2">
        <v>4</v>
      </c>
      <c r="C138" s="4">
        <v>-4204.5078479037529</v>
      </c>
      <c r="D138" s="4">
        <v>-716.08856963821711</v>
      </c>
      <c r="E138" s="4">
        <v>-847.7227600717398</v>
      </c>
      <c r="AC138" s="16" t="s">
        <v>4</v>
      </c>
      <c r="AD138" s="16">
        <v>77</v>
      </c>
      <c r="AE138" s="16">
        <v>60.757200000000005</v>
      </c>
      <c r="AF138" s="16">
        <v>0.78905454545454556</v>
      </c>
      <c r="AG138" s="16">
        <v>6.8391754066987843E-3</v>
      </c>
    </row>
    <row r="139" spans="1:35" x14ac:dyDescent="0.35">
      <c r="A139" s="2">
        <v>12</v>
      </c>
      <c r="B139" s="2">
        <v>5</v>
      </c>
      <c r="C139" s="4">
        <v>-3170.6019902990101</v>
      </c>
      <c r="D139" s="4">
        <v>-1912.3366528040469</v>
      </c>
      <c r="E139" s="4">
        <v>519.08263414039891</v>
      </c>
    </row>
    <row r="140" spans="1:35" ht="15" thickBot="1" x14ac:dyDescent="0.4">
      <c r="A140" s="2">
        <v>12</v>
      </c>
      <c r="B140" s="2">
        <v>6</v>
      </c>
      <c r="C140" s="4">
        <v>2612.5157750327112</v>
      </c>
      <c r="D140" s="4">
        <v>-3178.335359338349</v>
      </c>
      <c r="E140" s="4">
        <v>1147.5680265752701</v>
      </c>
    </row>
    <row r="141" spans="1:35" ht="15" thickBot="1" x14ac:dyDescent="0.4">
      <c r="A141" s="2">
        <v>12</v>
      </c>
      <c r="B141" s="2">
        <v>7</v>
      </c>
      <c r="C141" s="4">
        <v>3725.083079204072</v>
      </c>
      <c r="D141" s="4">
        <v>-3049.4476191957028</v>
      </c>
      <c r="E141" s="4">
        <v>1358.4454078427391</v>
      </c>
      <c r="AC141" s="21" t="s">
        <v>68</v>
      </c>
      <c r="AD141" s="22" t="s">
        <v>89</v>
      </c>
      <c r="AE141" s="22" t="s">
        <v>80</v>
      </c>
      <c r="AF141" s="22" t="s">
        <v>81</v>
      </c>
      <c r="AG141" s="22" t="s">
        <v>79</v>
      </c>
      <c r="AH141" s="22" t="s">
        <v>82</v>
      </c>
      <c r="AI141" s="23" t="s">
        <v>83</v>
      </c>
    </row>
    <row r="142" spans="1:35" ht="15" thickBot="1" x14ac:dyDescent="0.4">
      <c r="A142" s="2">
        <v>12</v>
      </c>
      <c r="B142" s="2">
        <v>8</v>
      </c>
      <c r="C142" s="4">
        <v>-4657.0201179516371</v>
      </c>
      <c r="D142" s="4">
        <v>-1262.9531258426521</v>
      </c>
      <c r="E142" s="4">
        <v>-545.43215814639416</v>
      </c>
      <c r="F142" s="3" t="s">
        <v>2</v>
      </c>
      <c r="G142" s="11" t="s">
        <v>5</v>
      </c>
      <c r="H142" s="11" t="s">
        <v>6</v>
      </c>
      <c r="I142" s="11" t="s">
        <v>7</v>
      </c>
      <c r="J142" s="11" t="s">
        <v>8</v>
      </c>
      <c r="K142" s="11" t="s">
        <v>9</v>
      </c>
      <c r="AB142" s="29" t="s">
        <v>88</v>
      </c>
      <c r="AC142" s="18" t="s">
        <v>69</v>
      </c>
      <c r="AD142" s="18" t="s">
        <v>70</v>
      </c>
      <c r="AE142" s="18" t="s">
        <v>71</v>
      </c>
      <c r="AF142" s="18" t="s">
        <v>72</v>
      </c>
      <c r="AG142" s="18" t="s">
        <v>73</v>
      </c>
      <c r="AH142" s="18" t="s">
        <v>74</v>
      </c>
      <c r="AI142" s="18" t="s">
        <v>75</v>
      </c>
    </row>
    <row r="143" spans="1:35" x14ac:dyDescent="0.35">
      <c r="A143" s="2">
        <v>12</v>
      </c>
      <c r="B143" s="2">
        <v>9</v>
      </c>
      <c r="C143" s="4">
        <v>-3359.838148630909</v>
      </c>
      <c r="D143" s="4">
        <v>883.50772732777796</v>
      </c>
      <c r="E143" s="4">
        <v>-2138.6694038925989</v>
      </c>
      <c r="F143" s="12"/>
      <c r="G143" s="11">
        <v>0.78979999999999995</v>
      </c>
      <c r="H143" s="11">
        <v>5575.79</v>
      </c>
      <c r="I143" s="11">
        <v>1.73041</v>
      </c>
      <c r="J143" s="11">
        <v>1.2105900000000001</v>
      </c>
      <c r="K143" s="11">
        <v>1.2371300000000001</v>
      </c>
      <c r="AC143" t="s">
        <v>76</v>
      </c>
      <c r="AD143">
        <v>0.25818748701298588</v>
      </c>
      <c r="AE143">
        <v>4</v>
      </c>
      <c r="AF143">
        <v>6.4546871753246471E-2</v>
      </c>
      <c r="AG143">
        <v>9.2423958171206078</v>
      </c>
      <c r="AH143">
        <v>6.2009696853783004E-7</v>
      </c>
      <c r="AI143">
        <v>2.4115901593349407</v>
      </c>
    </row>
    <row r="144" spans="1:35" x14ac:dyDescent="0.35">
      <c r="A144" s="2">
        <v>12</v>
      </c>
      <c r="B144" s="2">
        <v>10</v>
      </c>
      <c r="C144" s="4">
        <v>-3021.3568795508982</v>
      </c>
      <c r="D144" s="4">
        <v>3327.1669146897789</v>
      </c>
      <c r="E144" s="4">
        <v>485.12208219464497</v>
      </c>
      <c r="F144" s="12" t="s">
        <v>3</v>
      </c>
      <c r="G144" s="11"/>
      <c r="H144" s="11"/>
      <c r="I144" s="11"/>
      <c r="J144" s="11"/>
      <c r="K144" s="11"/>
      <c r="AC144" t="s">
        <v>77</v>
      </c>
      <c r="AD144">
        <v>1.5783345903896104</v>
      </c>
      <c r="AE144">
        <v>226</v>
      </c>
      <c r="AF144">
        <v>6.9837813734053558E-3</v>
      </c>
    </row>
    <row r="145" spans="1:35" x14ac:dyDescent="0.35">
      <c r="F145" s="12"/>
      <c r="G145" s="11">
        <v>0.94950000000000001</v>
      </c>
      <c r="H145" s="11">
        <v>3056.89</v>
      </c>
      <c r="I145" s="11">
        <v>1.2561199999999999</v>
      </c>
      <c r="J145" s="11">
        <v>-2.1787399999999999</v>
      </c>
      <c r="K145" s="11">
        <v>1.87653</v>
      </c>
    </row>
    <row r="146" spans="1:35" ht="15" thickBot="1" x14ac:dyDescent="0.4">
      <c r="F146" s="12" t="s">
        <v>4</v>
      </c>
      <c r="G146" s="9"/>
      <c r="H146" s="9"/>
      <c r="I146" s="9"/>
      <c r="J146" s="9"/>
      <c r="K146" s="9"/>
      <c r="AC146" s="16" t="s">
        <v>78</v>
      </c>
      <c r="AD146" s="16">
        <v>1.8365220774025963</v>
      </c>
      <c r="AE146" s="16">
        <v>230</v>
      </c>
      <c r="AF146" s="16"/>
      <c r="AG146" s="16"/>
      <c r="AH146" s="16"/>
      <c r="AI146" s="16"/>
    </row>
    <row r="147" spans="1:35" x14ac:dyDescent="0.35">
      <c r="A147" s="2">
        <v>13</v>
      </c>
      <c r="B147" s="27">
        <v>1</v>
      </c>
      <c r="C147" s="28">
        <v>5692.3563551833176</v>
      </c>
      <c r="D147" s="28">
        <v>2085.0461343147322</v>
      </c>
      <c r="E147" s="28">
        <v>3408.438183976587</v>
      </c>
      <c r="F147" s="9"/>
      <c r="G147" s="11">
        <v>0.76859999999999995</v>
      </c>
      <c r="H147" s="11">
        <v>848.476</v>
      </c>
      <c r="I147" s="11">
        <v>1.89716</v>
      </c>
      <c r="J147" s="11">
        <v>8.4473999999999994E-2</v>
      </c>
      <c r="K147" s="11">
        <v>2.8909400000000001</v>
      </c>
    </row>
    <row r="148" spans="1:35" x14ac:dyDescent="0.35">
      <c r="A148" s="2">
        <v>13</v>
      </c>
      <c r="B148" s="27">
        <v>2</v>
      </c>
      <c r="C148" s="28">
        <v>2158.3679353676289</v>
      </c>
      <c r="D148" s="28">
        <v>2098.4430197970901</v>
      </c>
      <c r="E148" s="28">
        <v>-547.93581012239042</v>
      </c>
    </row>
    <row r="149" spans="1:35" x14ac:dyDescent="0.35">
      <c r="A149" s="2">
        <v>13</v>
      </c>
      <c r="B149" s="27">
        <v>3</v>
      </c>
      <c r="C149" s="28">
        <v>7176.2940836739208</v>
      </c>
      <c r="D149" s="28">
        <v>-1.2148939766683089</v>
      </c>
      <c r="E149" s="28">
        <v>-2191.224717093357</v>
      </c>
      <c r="AC149" t="s">
        <v>91</v>
      </c>
    </row>
    <row r="150" spans="1:35" x14ac:dyDescent="0.35">
      <c r="A150" s="2">
        <v>13</v>
      </c>
      <c r="B150" s="27">
        <v>4</v>
      </c>
      <c r="C150" s="28">
        <v>-5844.5040955736586</v>
      </c>
      <c r="D150" s="28">
        <v>173.0049246607758</v>
      </c>
      <c r="E150" s="28">
        <v>-1714.569145082002</v>
      </c>
      <c r="AC150" t="s">
        <v>92</v>
      </c>
    </row>
    <row r="151" spans="1:35" x14ac:dyDescent="0.35">
      <c r="A151" s="2">
        <v>13</v>
      </c>
      <c r="B151" s="27">
        <v>5</v>
      </c>
      <c r="C151" s="28">
        <v>-3007.5623492148752</v>
      </c>
      <c r="D151" s="28">
        <v>-1590.018078576782</v>
      </c>
      <c r="E151" s="28">
        <v>368.94047905658232</v>
      </c>
    </row>
    <row r="152" spans="1:35" x14ac:dyDescent="0.35">
      <c r="A152" s="2">
        <v>13</v>
      </c>
      <c r="B152" s="27">
        <v>6</v>
      </c>
      <c r="C152" s="28">
        <v>-4453.8908755334342</v>
      </c>
      <c r="D152" s="28">
        <v>-2538.463110754401</v>
      </c>
      <c r="E152" s="28">
        <v>1459.093752113876</v>
      </c>
      <c r="F152" s="3" t="s">
        <v>2</v>
      </c>
      <c r="G152" s="11" t="s">
        <v>5</v>
      </c>
      <c r="H152" s="11" t="s">
        <v>6</v>
      </c>
      <c r="I152" s="11" t="s">
        <v>7</v>
      </c>
      <c r="J152" s="11" t="s">
        <v>8</v>
      </c>
      <c r="K152" s="11" t="s">
        <v>9</v>
      </c>
    </row>
    <row r="153" spans="1:35" ht="15" thickBot="1" x14ac:dyDescent="0.4">
      <c r="A153" s="2">
        <v>13</v>
      </c>
      <c r="B153" s="27">
        <v>7</v>
      </c>
      <c r="C153" s="28">
        <v>-202.69648572596981</v>
      </c>
      <c r="D153" s="28">
        <v>-2875.315700743085</v>
      </c>
      <c r="E153" s="28">
        <v>1338.0048962534549</v>
      </c>
      <c r="F153" s="12"/>
      <c r="G153" s="11">
        <v>0.69630000000000003</v>
      </c>
      <c r="H153" s="11">
        <v>4792.63</v>
      </c>
      <c r="I153" s="11">
        <v>2.6257600000000001</v>
      </c>
      <c r="J153" s="11">
        <v>-0.52679100000000001</v>
      </c>
      <c r="K153" s="11">
        <v>1.9426099999999999</v>
      </c>
    </row>
    <row r="154" spans="1:35" ht="24" thickBot="1" x14ac:dyDescent="0.6">
      <c r="A154" s="2">
        <v>13</v>
      </c>
      <c r="B154" s="27">
        <v>8</v>
      </c>
      <c r="C154" s="28">
        <v>5369.5196154439709</v>
      </c>
      <c r="D154" s="28">
        <v>-2249.7223116842379</v>
      </c>
      <c r="E154" s="28">
        <v>-1101.6848685261691</v>
      </c>
      <c r="F154" s="12" t="s">
        <v>3</v>
      </c>
      <c r="G154" s="11"/>
      <c r="H154" s="11"/>
      <c r="I154" s="11"/>
      <c r="J154" s="11"/>
      <c r="K154" s="11"/>
      <c r="AB154" s="26">
        <v>1</v>
      </c>
    </row>
    <row r="155" spans="1:35" x14ac:dyDescent="0.35">
      <c r="A155" s="2">
        <v>13</v>
      </c>
      <c r="B155" s="27">
        <v>9</v>
      </c>
      <c r="C155" s="28">
        <v>-2266.2462606431191</v>
      </c>
      <c r="D155" s="28">
        <v>1133.0158146950159</v>
      </c>
      <c r="E155" s="28">
        <v>-1456.27032998351</v>
      </c>
      <c r="F155" s="12"/>
      <c r="G155" s="11">
        <v>0.92220000000000002</v>
      </c>
      <c r="H155" s="11">
        <v>1320.09</v>
      </c>
      <c r="I155" s="11">
        <v>2.0958000000000001</v>
      </c>
      <c r="J155" s="11">
        <v>-1.4755400000000001</v>
      </c>
      <c r="K155" s="11">
        <v>2.6976200000000001</v>
      </c>
      <c r="AB155" s="18" t="s">
        <v>84</v>
      </c>
      <c r="AC155" s="18"/>
      <c r="AD155" s="18" t="s">
        <v>86</v>
      </c>
      <c r="AE155" s="18"/>
      <c r="AF155" s="18" t="s">
        <v>85</v>
      </c>
      <c r="AG155" s="18"/>
    </row>
    <row r="156" spans="1:35" x14ac:dyDescent="0.35">
      <c r="A156" s="2">
        <v>13</v>
      </c>
      <c r="B156" s="27">
        <v>10</v>
      </c>
      <c r="C156" s="28">
        <v>-4621.6379229788236</v>
      </c>
      <c r="D156" s="28">
        <v>3765.2242022676978</v>
      </c>
      <c r="E156" s="28">
        <v>437.20755940664702</v>
      </c>
      <c r="F156" s="12" t="s">
        <v>4</v>
      </c>
      <c r="G156" s="9"/>
      <c r="H156" s="9"/>
      <c r="I156" s="9"/>
      <c r="J156" s="9"/>
      <c r="K156" s="9"/>
    </row>
    <row r="157" spans="1:35" x14ac:dyDescent="0.35">
      <c r="F157" s="9"/>
      <c r="G157" s="11">
        <v>0.84230000000000005</v>
      </c>
      <c r="H157" s="11">
        <v>6490.29</v>
      </c>
      <c r="I157" s="11">
        <v>1.4960800000000001</v>
      </c>
      <c r="J157" s="11">
        <v>-0.31864999999999999</v>
      </c>
      <c r="K157" s="11">
        <v>0.45865800000000001</v>
      </c>
      <c r="AB157" t="s">
        <v>97</v>
      </c>
      <c r="AC157">
        <v>0.78137272727272733</v>
      </c>
      <c r="AD157" t="s">
        <v>97</v>
      </c>
      <c r="AE157">
        <v>0.78905454545454556</v>
      </c>
      <c r="AF157" t="s">
        <v>97</v>
      </c>
      <c r="AG157">
        <v>0.85582077922077948</v>
      </c>
    </row>
    <row r="158" spans="1:35" x14ac:dyDescent="0.35">
      <c r="AB158" t="s">
        <v>98</v>
      </c>
      <c r="AC158">
        <v>7.9504423750420376E-3</v>
      </c>
      <c r="AD158" t="s">
        <v>98</v>
      </c>
      <c r="AE158">
        <v>9.4244607181131028E-3</v>
      </c>
      <c r="AF158" t="s">
        <v>98</v>
      </c>
      <c r="AG158">
        <v>1.084797597874736E-2</v>
      </c>
    </row>
    <row r="159" spans="1:35" x14ac:dyDescent="0.35">
      <c r="A159" s="2">
        <v>14</v>
      </c>
      <c r="B159" s="2">
        <v>1</v>
      </c>
      <c r="C159" s="4">
        <v>-4949.5876111226617</v>
      </c>
      <c r="D159" s="4">
        <v>-2102.4230421124871</v>
      </c>
      <c r="E159" s="4">
        <v>4020.9555233931151</v>
      </c>
      <c r="AB159" t="s">
        <v>99</v>
      </c>
      <c r="AC159">
        <v>0.78979999999999995</v>
      </c>
      <c r="AD159" t="s">
        <v>99</v>
      </c>
      <c r="AE159">
        <v>0.79800000000000004</v>
      </c>
      <c r="AF159" t="s">
        <v>99</v>
      </c>
      <c r="AG159">
        <v>0.86380000000000001</v>
      </c>
    </row>
    <row r="160" spans="1:35" x14ac:dyDescent="0.35">
      <c r="A160" s="2">
        <v>14</v>
      </c>
      <c r="B160" s="2">
        <v>2</v>
      </c>
      <c r="C160" s="4">
        <v>-1690.217190516245</v>
      </c>
      <c r="D160" s="4">
        <v>-2568.8799618320568</v>
      </c>
      <c r="E160" s="4">
        <v>-1563.300357182774</v>
      </c>
      <c r="AB160" t="s">
        <v>100</v>
      </c>
      <c r="AC160">
        <v>0.80469999999999997</v>
      </c>
      <c r="AD160" t="s">
        <v>100</v>
      </c>
      <c r="AE160">
        <v>0.75570000000000004</v>
      </c>
      <c r="AF160" t="s">
        <v>100</v>
      </c>
      <c r="AG160">
        <v>0.73939999999999995</v>
      </c>
    </row>
    <row r="161" spans="1:33" x14ac:dyDescent="0.35">
      <c r="A161" s="2">
        <v>14</v>
      </c>
      <c r="B161" s="2">
        <v>3</v>
      </c>
      <c r="C161" s="4">
        <v>7142.5091082960407</v>
      </c>
      <c r="D161" s="4">
        <v>-2415.2460904932718</v>
      </c>
      <c r="E161" s="4">
        <v>-223.59481950418771</v>
      </c>
      <c r="AB161" t="s">
        <v>101</v>
      </c>
      <c r="AC161">
        <v>6.9764848705007126E-2</v>
      </c>
      <c r="AD161" t="s">
        <v>101</v>
      </c>
      <c r="AE161">
        <v>8.2699307171818462E-2</v>
      </c>
      <c r="AF161" t="s">
        <v>101</v>
      </c>
      <c r="AG161">
        <v>9.5190602888793288E-2</v>
      </c>
    </row>
    <row r="162" spans="1:33" x14ac:dyDescent="0.35">
      <c r="A162" s="2">
        <v>14</v>
      </c>
      <c r="B162" s="2">
        <v>4</v>
      </c>
      <c r="C162" s="4">
        <v>2752.626280133315</v>
      </c>
      <c r="D162" s="4">
        <v>-170.0125821231745</v>
      </c>
      <c r="E162" s="4">
        <v>172.57409697277899</v>
      </c>
      <c r="F162" s="3" t="s">
        <v>2</v>
      </c>
      <c r="G162" s="11" t="s">
        <v>5</v>
      </c>
      <c r="H162" s="11" t="s">
        <v>6</v>
      </c>
      <c r="I162" s="11" t="s">
        <v>7</v>
      </c>
      <c r="J162" s="11" t="s">
        <v>8</v>
      </c>
      <c r="K162" s="11" t="s">
        <v>9</v>
      </c>
      <c r="AB162" t="s">
        <v>102</v>
      </c>
      <c r="AC162">
        <v>4.8671341148325354E-3</v>
      </c>
      <c r="AD162" t="s">
        <v>102</v>
      </c>
      <c r="AE162">
        <v>6.8391754066987843E-3</v>
      </c>
      <c r="AF162" t="s">
        <v>102</v>
      </c>
      <c r="AG162">
        <v>9.0612508783319418E-3</v>
      </c>
    </row>
    <row r="163" spans="1:33" x14ac:dyDescent="0.35">
      <c r="A163" s="2">
        <v>14</v>
      </c>
      <c r="B163" s="2">
        <v>5</v>
      </c>
      <c r="C163" s="4">
        <v>2484.2032464591748</v>
      </c>
      <c r="D163" s="4">
        <v>2101.816135635494</v>
      </c>
      <c r="E163" s="4">
        <v>418.94787713853532</v>
      </c>
      <c r="F163" s="12"/>
      <c r="G163" s="11">
        <v>0.76739999999999997</v>
      </c>
      <c r="H163" s="11">
        <v>5746.19</v>
      </c>
      <c r="I163" s="11">
        <v>2.4041199999999998</v>
      </c>
      <c r="J163" s="11">
        <v>0.384741</v>
      </c>
      <c r="K163" s="11">
        <v>1.14429</v>
      </c>
      <c r="AB163" t="s">
        <v>103</v>
      </c>
      <c r="AC163">
        <v>-0.19033130461143388</v>
      </c>
      <c r="AD163" t="s">
        <v>103</v>
      </c>
      <c r="AE163">
        <v>-0.48771904959139123</v>
      </c>
      <c r="AF163" t="s">
        <v>103</v>
      </c>
      <c r="AG163">
        <v>-0.98089283053100074</v>
      </c>
    </row>
    <row r="164" spans="1:33" x14ac:dyDescent="0.35">
      <c r="A164" s="2">
        <v>14</v>
      </c>
      <c r="B164" s="2">
        <v>6</v>
      </c>
      <c r="C164" s="4">
        <v>1260.6207248062881</v>
      </c>
      <c r="D164" s="4">
        <v>2810.8703838860788</v>
      </c>
      <c r="E164" s="4">
        <v>203.92068951881629</v>
      </c>
      <c r="F164" s="12" t="s">
        <v>3</v>
      </c>
      <c r="G164" s="11"/>
      <c r="H164" s="11"/>
      <c r="I164" s="11"/>
      <c r="J164" s="11"/>
      <c r="K164" s="11"/>
      <c r="AB164" t="s">
        <v>104</v>
      </c>
      <c r="AC164">
        <v>-0.32054857775334084</v>
      </c>
      <c r="AD164" t="s">
        <v>104</v>
      </c>
      <c r="AE164">
        <v>-0.10115584294438416</v>
      </c>
      <c r="AF164" t="s">
        <v>104</v>
      </c>
      <c r="AG164">
        <v>-0.33359940926722048</v>
      </c>
    </row>
    <row r="165" spans="1:33" x14ac:dyDescent="0.35">
      <c r="A165" s="2">
        <v>14</v>
      </c>
      <c r="B165" s="2">
        <v>7</v>
      </c>
      <c r="C165" s="4">
        <v>-4427.5859963366338</v>
      </c>
      <c r="D165" s="4">
        <v>3612.350338480162</v>
      </c>
      <c r="E165" s="4">
        <v>-425.71884033261381</v>
      </c>
      <c r="F165" s="12"/>
      <c r="G165" s="11">
        <v>0.89539999999999997</v>
      </c>
      <c r="H165" s="11">
        <v>1238.9100000000001</v>
      </c>
      <c r="I165" s="11">
        <v>2.3867500000000001</v>
      </c>
      <c r="J165" s="11">
        <v>-1.27294</v>
      </c>
      <c r="K165" s="11">
        <v>2.9256899999999999</v>
      </c>
      <c r="AB165" t="s">
        <v>105</v>
      </c>
      <c r="AC165">
        <v>0.33350000000000002</v>
      </c>
      <c r="AD165" t="s">
        <v>105</v>
      </c>
      <c r="AE165">
        <v>0.36480000000000001</v>
      </c>
      <c r="AF165" t="s">
        <v>105</v>
      </c>
      <c r="AG165">
        <v>0.37639999999999996</v>
      </c>
    </row>
    <row r="166" spans="1:33" x14ac:dyDescent="0.35">
      <c r="A166" s="2">
        <v>14</v>
      </c>
      <c r="B166" s="2">
        <v>8</v>
      </c>
      <c r="C166" s="4">
        <v>3615.898809813214</v>
      </c>
      <c r="D166" s="4">
        <v>880.81545756309436</v>
      </c>
      <c r="E166" s="4">
        <v>594.11107545107518</v>
      </c>
      <c r="F166" s="12" t="s">
        <v>4</v>
      </c>
      <c r="G166" s="9"/>
      <c r="H166" s="9"/>
      <c r="I166" s="9"/>
      <c r="J166" s="9"/>
      <c r="K166" s="9"/>
      <c r="AB166" t="s">
        <v>106</v>
      </c>
      <c r="AC166">
        <v>0.60070000000000001</v>
      </c>
      <c r="AD166" t="s">
        <v>106</v>
      </c>
      <c r="AE166">
        <v>0.61360000000000003</v>
      </c>
      <c r="AF166" t="s">
        <v>106</v>
      </c>
      <c r="AG166">
        <v>0.61499999999999999</v>
      </c>
    </row>
    <row r="167" spans="1:33" x14ac:dyDescent="0.35">
      <c r="A167" s="2">
        <v>14</v>
      </c>
      <c r="B167" s="2">
        <v>9</v>
      </c>
      <c r="C167" s="4">
        <v>254.34140654040229</v>
      </c>
      <c r="D167" s="4">
        <v>-1020.193655585186</v>
      </c>
      <c r="E167" s="4">
        <v>-1127.740521691667</v>
      </c>
      <c r="F167" s="9"/>
      <c r="G167" s="11">
        <v>0.82440000000000002</v>
      </c>
      <c r="H167" s="11">
        <v>946.16099999999994</v>
      </c>
      <c r="I167" s="11">
        <v>1.23793</v>
      </c>
      <c r="J167" s="11">
        <v>0.81333200000000005</v>
      </c>
      <c r="K167" s="11">
        <v>2.6840999999999999</v>
      </c>
      <c r="AB167" t="s">
        <v>107</v>
      </c>
      <c r="AC167">
        <v>0.93420000000000003</v>
      </c>
      <c r="AD167" t="s">
        <v>107</v>
      </c>
      <c r="AE167">
        <v>0.97840000000000005</v>
      </c>
      <c r="AF167" t="s">
        <v>107</v>
      </c>
      <c r="AG167">
        <v>0.99139999999999995</v>
      </c>
    </row>
    <row r="168" spans="1:33" x14ac:dyDescent="0.35">
      <c r="A168" s="2">
        <v>14</v>
      </c>
      <c r="B168" s="2">
        <v>10</v>
      </c>
      <c r="C168" s="4">
        <v>-6442.8087780725937</v>
      </c>
      <c r="D168" s="4">
        <v>-1129.096983419041</v>
      </c>
      <c r="E168" s="4">
        <v>-2070.1547237627678</v>
      </c>
      <c r="AB168" t="s">
        <v>65</v>
      </c>
      <c r="AC168">
        <v>60.165700000000008</v>
      </c>
      <c r="AD168" t="s">
        <v>65</v>
      </c>
      <c r="AE168">
        <v>60.757200000000005</v>
      </c>
      <c r="AF168" t="s">
        <v>65</v>
      </c>
      <c r="AG168">
        <v>65.898200000000017</v>
      </c>
    </row>
    <row r="169" spans="1:33" x14ac:dyDescent="0.35">
      <c r="AB169" t="s">
        <v>64</v>
      </c>
      <c r="AC169">
        <v>77</v>
      </c>
      <c r="AD169" t="s">
        <v>64</v>
      </c>
      <c r="AE169">
        <v>77</v>
      </c>
      <c r="AF169" t="s">
        <v>64</v>
      </c>
      <c r="AG169">
        <v>77</v>
      </c>
    </row>
    <row r="170" spans="1:33" x14ac:dyDescent="0.35">
      <c r="AB170" t="s">
        <v>108</v>
      </c>
      <c r="AC170">
        <v>0.93420000000000003</v>
      </c>
      <c r="AD170" t="s">
        <v>108</v>
      </c>
      <c r="AE170">
        <v>0.97840000000000005</v>
      </c>
      <c r="AF170" t="s">
        <v>108</v>
      </c>
      <c r="AG170">
        <v>0.99139999999999995</v>
      </c>
    </row>
    <row r="171" spans="1:33" x14ac:dyDescent="0.35">
      <c r="A171" s="2">
        <v>15</v>
      </c>
      <c r="B171" s="2">
        <v>1</v>
      </c>
      <c r="C171" s="4">
        <v>-1355.2786021503809</v>
      </c>
      <c r="D171" s="4">
        <v>3274.2754804948249</v>
      </c>
      <c r="E171" s="4">
        <v>-1108.430089107178</v>
      </c>
      <c r="AB171" t="s">
        <v>109</v>
      </c>
      <c r="AC171">
        <v>0.60070000000000001</v>
      </c>
      <c r="AD171" t="s">
        <v>109</v>
      </c>
      <c r="AE171">
        <v>0.61360000000000003</v>
      </c>
      <c r="AF171" t="s">
        <v>109</v>
      </c>
      <c r="AG171">
        <v>0.61499999999999999</v>
      </c>
    </row>
    <row r="172" spans="1:33" ht="15" thickBot="1" x14ac:dyDescent="0.4">
      <c r="A172" s="2">
        <v>15</v>
      </c>
      <c r="B172" s="2">
        <v>2</v>
      </c>
      <c r="C172" s="4">
        <v>2253.6531974353479</v>
      </c>
      <c r="D172" s="4">
        <v>2943.952375064413</v>
      </c>
      <c r="E172" s="4">
        <v>-320.11546061202381</v>
      </c>
      <c r="F172" s="3" t="s">
        <v>2</v>
      </c>
      <c r="G172" s="11" t="s">
        <v>5</v>
      </c>
      <c r="H172" s="11" t="s">
        <v>6</v>
      </c>
      <c r="I172" s="11" t="s">
        <v>7</v>
      </c>
      <c r="J172" s="11" t="s">
        <v>8</v>
      </c>
      <c r="K172" s="11" t="s">
        <v>9</v>
      </c>
      <c r="AB172" s="16" t="s">
        <v>110</v>
      </c>
      <c r="AC172" s="16">
        <v>1.5834678312929479E-2</v>
      </c>
      <c r="AD172" s="16" t="s">
        <v>110</v>
      </c>
      <c r="AE172" s="16">
        <v>1.8770440272937929E-2</v>
      </c>
      <c r="AF172" s="16" t="s">
        <v>110</v>
      </c>
      <c r="AG172" s="16">
        <v>2.1605616626954361E-2</v>
      </c>
    </row>
    <row r="173" spans="1:33" x14ac:dyDescent="0.35">
      <c r="A173" s="2">
        <v>15</v>
      </c>
      <c r="B173" s="2">
        <v>3</v>
      </c>
      <c r="C173" s="4">
        <v>-1286.6778785937729</v>
      </c>
      <c r="D173" s="4">
        <v>1003.974180935012</v>
      </c>
      <c r="E173" s="4">
        <v>980.53616115182751</v>
      </c>
      <c r="F173" s="12"/>
      <c r="G173" s="11">
        <v>0.77200000000000002</v>
      </c>
      <c r="H173" s="11">
        <v>3704.72</v>
      </c>
      <c r="I173" s="11">
        <v>1.1312199999999999</v>
      </c>
      <c r="J173" s="11">
        <v>-0.77116799999999996</v>
      </c>
      <c r="K173" s="11">
        <v>2.48671</v>
      </c>
    </row>
    <row r="174" spans="1:33" x14ac:dyDescent="0.35">
      <c r="A174" s="2">
        <v>15</v>
      </c>
      <c r="B174" s="2">
        <v>4</v>
      </c>
      <c r="C174" s="4">
        <v>4872.6362706275559</v>
      </c>
      <c r="D174" s="4">
        <v>-232.27361525127711</v>
      </c>
      <c r="E174" s="4">
        <v>3396.1166829253129</v>
      </c>
      <c r="F174" s="12" t="s">
        <v>3</v>
      </c>
      <c r="G174" s="11"/>
      <c r="H174" s="11"/>
      <c r="I174" s="11"/>
      <c r="J174" s="11"/>
      <c r="K174" s="11"/>
    </row>
    <row r="175" spans="1:33" x14ac:dyDescent="0.35">
      <c r="A175" s="2">
        <v>15</v>
      </c>
      <c r="B175" s="2">
        <v>5</v>
      </c>
      <c r="C175" s="4">
        <v>-4165.309572264895</v>
      </c>
      <c r="D175" s="4">
        <v>-2675.507826557402</v>
      </c>
      <c r="E175" s="4">
        <v>-1213.3196972447281</v>
      </c>
      <c r="F175" s="12"/>
      <c r="G175" s="11">
        <v>0.99139999999999995</v>
      </c>
      <c r="H175" s="11">
        <v>1291.46</v>
      </c>
      <c r="I175" s="11">
        <v>3.0137700000000001</v>
      </c>
      <c r="J175" s="11">
        <v>0.28232299999999999</v>
      </c>
      <c r="K175" s="11">
        <v>2.48671</v>
      </c>
    </row>
    <row r="176" spans="1:33" x14ac:dyDescent="0.35">
      <c r="A176" s="2">
        <v>15</v>
      </c>
      <c r="B176" s="2">
        <v>6</v>
      </c>
      <c r="C176" s="4">
        <v>8158.9331739744857</v>
      </c>
      <c r="D176" s="4">
        <v>-1644.809155966183</v>
      </c>
      <c r="E176" s="4">
        <v>-1532.559682636617</v>
      </c>
      <c r="F176" s="12" t="s">
        <v>4</v>
      </c>
      <c r="G176" s="9"/>
      <c r="H176" s="9"/>
      <c r="I176" s="9"/>
      <c r="J176" s="9"/>
      <c r="K176" s="9"/>
    </row>
    <row r="177" spans="1:11" x14ac:dyDescent="0.35">
      <c r="A177" s="2">
        <v>15</v>
      </c>
      <c r="B177" s="2">
        <v>7</v>
      </c>
      <c r="C177" s="4">
        <v>-1421.1582655761581</v>
      </c>
      <c r="D177" s="4">
        <v>-2557.4880294332552</v>
      </c>
      <c r="E177" s="4">
        <v>-1380.1146624087751</v>
      </c>
      <c r="F177" s="9"/>
      <c r="G177" s="11">
        <v>0.89970000000000006</v>
      </c>
      <c r="H177" s="11">
        <v>1193.53</v>
      </c>
      <c r="I177" s="11">
        <v>2.5306299999999999</v>
      </c>
      <c r="J177" s="11">
        <v>0.69333199999999995</v>
      </c>
      <c r="K177" s="11">
        <v>2.6071800000000001</v>
      </c>
    </row>
    <row r="178" spans="1:11" x14ac:dyDescent="0.35">
      <c r="A178" s="2">
        <v>15</v>
      </c>
      <c r="B178" s="2">
        <v>8</v>
      </c>
      <c r="C178" s="4">
        <v>2019.083882964145</v>
      </c>
      <c r="D178" s="4">
        <v>-1615.3264587689721</v>
      </c>
      <c r="E178" s="4">
        <v>469.024986635407</v>
      </c>
    </row>
    <row r="179" spans="1:11" x14ac:dyDescent="0.35">
      <c r="A179" s="2">
        <v>15</v>
      </c>
      <c r="B179" s="2">
        <v>9</v>
      </c>
      <c r="C179" s="4">
        <v>-7351.9151910233131</v>
      </c>
      <c r="D179" s="4">
        <v>-838.74448476319208</v>
      </c>
      <c r="E179" s="4">
        <v>1830.741353551457</v>
      </c>
    </row>
    <row r="180" spans="1:11" x14ac:dyDescent="0.35">
      <c r="A180" s="2">
        <v>15</v>
      </c>
      <c r="B180" s="2">
        <v>10</v>
      </c>
      <c r="C180" s="4">
        <v>-1723.967015393471</v>
      </c>
      <c r="D180" s="4">
        <v>2341.9475342458441</v>
      </c>
      <c r="E180" s="4">
        <v>-1121.879592254819</v>
      </c>
    </row>
    <row r="182" spans="1:11" x14ac:dyDescent="0.35">
      <c r="F182" s="3" t="s">
        <v>2</v>
      </c>
      <c r="G182" s="11" t="s">
        <v>5</v>
      </c>
      <c r="H182" s="11" t="s">
        <v>6</v>
      </c>
      <c r="I182" s="11" t="s">
        <v>7</v>
      </c>
      <c r="J182" s="11" t="s">
        <v>8</v>
      </c>
      <c r="K182" s="11" t="s">
        <v>9</v>
      </c>
    </row>
    <row r="183" spans="1:11" x14ac:dyDescent="0.35">
      <c r="F183" s="12"/>
      <c r="G183" s="11">
        <v>0.85950000000000004</v>
      </c>
      <c r="H183" s="11">
        <v>3704.72</v>
      </c>
      <c r="I183" s="11">
        <v>2.5856400000000002</v>
      </c>
      <c r="J183" s="11">
        <v>0.19601199999999999</v>
      </c>
      <c r="K183" s="11">
        <v>1.75789</v>
      </c>
    </row>
    <row r="184" spans="1:11" x14ac:dyDescent="0.35">
      <c r="A184" s="2">
        <v>16</v>
      </c>
      <c r="B184" s="2">
        <v>1</v>
      </c>
      <c r="C184" s="4">
        <v>-6972.3427249109709</v>
      </c>
      <c r="D184" s="4">
        <v>2461.3649441755811</v>
      </c>
      <c r="E184" s="4">
        <v>3731.6106093938888</v>
      </c>
      <c r="F184" s="12" t="s">
        <v>3</v>
      </c>
      <c r="G184" s="11"/>
      <c r="H184" s="11"/>
      <c r="I184" s="11"/>
      <c r="J184" s="11"/>
      <c r="K184" s="11"/>
    </row>
    <row r="185" spans="1:11" x14ac:dyDescent="0.35">
      <c r="A185" s="2">
        <v>16</v>
      </c>
      <c r="B185" s="2">
        <v>2</v>
      </c>
      <c r="C185" s="4">
        <v>-3150.2371959515071</v>
      </c>
      <c r="D185" s="4">
        <v>2533.032015338546</v>
      </c>
      <c r="E185" s="4">
        <v>-1389.7376818392991</v>
      </c>
      <c r="F185" s="12"/>
      <c r="G185" s="11">
        <v>0.96489999999999998</v>
      </c>
      <c r="H185" s="11">
        <v>1291.46</v>
      </c>
      <c r="I185" s="11">
        <v>1.2539400000000001</v>
      </c>
      <c r="J185" s="11">
        <v>-2.21488</v>
      </c>
      <c r="K185" s="11">
        <v>1.8990499999999999</v>
      </c>
    </row>
    <row r="186" spans="1:11" x14ac:dyDescent="0.35">
      <c r="A186" s="2">
        <v>16</v>
      </c>
      <c r="B186" s="2">
        <v>3</v>
      </c>
      <c r="C186" s="4">
        <v>-4566.1253200776173</v>
      </c>
      <c r="D186" s="4">
        <v>-207.37633034440839</v>
      </c>
      <c r="E186" s="4">
        <v>-2508.387123361616</v>
      </c>
      <c r="F186" s="12" t="s">
        <v>4</v>
      </c>
      <c r="G186" s="9"/>
      <c r="H186" s="9"/>
      <c r="I186" s="9"/>
      <c r="J186" s="9"/>
      <c r="K186" s="9"/>
    </row>
    <row r="187" spans="1:11" x14ac:dyDescent="0.35">
      <c r="A187" s="2">
        <v>16</v>
      </c>
      <c r="B187" s="2">
        <v>4</v>
      </c>
      <c r="C187" s="4">
        <v>-4933.1206901253363</v>
      </c>
      <c r="D187" s="4">
        <v>-1848.670924740258</v>
      </c>
      <c r="E187" s="4">
        <v>623.19665530798056</v>
      </c>
      <c r="F187" s="9"/>
      <c r="G187" s="11">
        <v>0.66039999999999999</v>
      </c>
      <c r="H187" s="11">
        <v>1193.53</v>
      </c>
      <c r="I187" s="11">
        <v>1.0118100000000001</v>
      </c>
      <c r="J187" s="11">
        <v>-0.34631499999999998</v>
      </c>
      <c r="K187" s="11">
        <v>2.1193900000000001</v>
      </c>
    </row>
    <row r="188" spans="1:11" x14ac:dyDescent="0.35">
      <c r="A188" s="2">
        <v>16</v>
      </c>
      <c r="B188" s="2">
        <v>5</v>
      </c>
      <c r="C188" s="4">
        <v>507.52384318030113</v>
      </c>
      <c r="D188" s="4">
        <v>-1831.9984944409159</v>
      </c>
      <c r="E188" s="4">
        <v>452.80938892851941</v>
      </c>
    </row>
    <row r="189" spans="1:11" x14ac:dyDescent="0.35">
      <c r="A189" s="2">
        <v>16</v>
      </c>
      <c r="B189" s="2">
        <v>6</v>
      </c>
      <c r="C189" s="4">
        <v>9417.8268480192746</v>
      </c>
      <c r="D189" s="4">
        <v>-904.35814528929245</v>
      </c>
      <c r="E189" s="4">
        <v>786.54280600393577</v>
      </c>
    </row>
    <row r="190" spans="1:11" x14ac:dyDescent="0.35">
      <c r="A190" s="2">
        <v>16</v>
      </c>
      <c r="B190" s="2">
        <v>7</v>
      </c>
      <c r="C190" s="4">
        <v>3180.0223198950389</v>
      </c>
      <c r="D190" s="4">
        <v>-1892.3172240704739</v>
      </c>
      <c r="E190" s="4">
        <v>655.14496271926316</v>
      </c>
    </row>
    <row r="191" spans="1:11" x14ac:dyDescent="0.35">
      <c r="A191" s="2">
        <v>16</v>
      </c>
      <c r="B191" s="2">
        <v>8</v>
      </c>
      <c r="C191" s="4">
        <v>1274.384916716459</v>
      </c>
      <c r="D191" s="4">
        <v>-1772.7194551263201</v>
      </c>
      <c r="E191" s="4">
        <v>715.0327998646502</v>
      </c>
    </row>
    <row r="192" spans="1:11" x14ac:dyDescent="0.35">
      <c r="A192" s="2">
        <v>16</v>
      </c>
      <c r="B192" s="2">
        <v>9</v>
      </c>
      <c r="C192" s="4">
        <v>-2787.3591341717988</v>
      </c>
      <c r="D192" s="4">
        <v>-461.4921025698867</v>
      </c>
      <c r="E192" s="4">
        <v>-2519.116997826296</v>
      </c>
      <c r="F192" s="3" t="s">
        <v>2</v>
      </c>
      <c r="G192" s="11" t="s">
        <v>5</v>
      </c>
      <c r="H192" s="11" t="s">
        <v>6</v>
      </c>
      <c r="I192" s="11" t="s">
        <v>7</v>
      </c>
      <c r="J192" s="11" t="s">
        <v>8</v>
      </c>
      <c r="K192" s="11" t="s">
        <v>9</v>
      </c>
    </row>
    <row r="193" spans="1:11" x14ac:dyDescent="0.35">
      <c r="A193" s="2">
        <v>16</v>
      </c>
      <c r="B193" s="2">
        <v>10</v>
      </c>
      <c r="C193" s="4">
        <v>8029.427137426318</v>
      </c>
      <c r="D193" s="4">
        <v>3924.5357170675838</v>
      </c>
      <c r="E193" s="4">
        <v>-547.0954191910206</v>
      </c>
      <c r="F193" s="12"/>
      <c r="G193" s="11">
        <v>0.69189999999999996</v>
      </c>
      <c r="H193" s="11">
        <v>5346.65</v>
      </c>
      <c r="I193" s="11">
        <v>2.7996500000000002</v>
      </c>
      <c r="J193" s="11">
        <v>0.12959699999999999</v>
      </c>
      <c r="K193" s="11">
        <v>1.50105</v>
      </c>
    </row>
    <row r="194" spans="1:11" x14ac:dyDescent="0.35">
      <c r="F194" s="12" t="s">
        <v>3</v>
      </c>
      <c r="G194" s="11"/>
      <c r="H194" s="11"/>
      <c r="I194" s="11"/>
      <c r="J194" s="11"/>
      <c r="K194" s="11"/>
    </row>
    <row r="195" spans="1:11" x14ac:dyDescent="0.35">
      <c r="F195" s="12"/>
      <c r="G195" s="11">
        <v>0.95409999999999995</v>
      </c>
      <c r="H195" s="11">
        <v>2785.01</v>
      </c>
      <c r="I195" s="11">
        <v>1.2723</v>
      </c>
      <c r="J195" s="11">
        <v>-2.0434199999999998</v>
      </c>
      <c r="K195" s="11">
        <v>-2.0434199999999998</v>
      </c>
    </row>
    <row r="196" spans="1:11" x14ac:dyDescent="0.35">
      <c r="F196" s="12" t="s">
        <v>4</v>
      </c>
      <c r="G196" s="9"/>
      <c r="H196" s="9"/>
      <c r="I196" s="9"/>
      <c r="J196" s="9"/>
      <c r="K196" s="9"/>
    </row>
    <row r="197" spans="1:11" x14ac:dyDescent="0.35">
      <c r="A197" s="2">
        <v>17</v>
      </c>
      <c r="B197" s="2">
        <v>1</v>
      </c>
      <c r="C197" s="4">
        <v>10112.181865311361</v>
      </c>
      <c r="D197" s="4">
        <v>48.145374079901053</v>
      </c>
      <c r="E197" s="4">
        <v>-1579.563031749509</v>
      </c>
      <c r="F197" s="9"/>
      <c r="G197" s="11">
        <v>0.70950000000000002</v>
      </c>
      <c r="H197" s="11">
        <v>1930</v>
      </c>
      <c r="I197" s="11">
        <v>1.42378</v>
      </c>
      <c r="J197" s="11">
        <v>-0.13073000000000001</v>
      </c>
      <c r="K197" s="11">
        <v>1.00657</v>
      </c>
    </row>
    <row r="198" spans="1:11" x14ac:dyDescent="0.35">
      <c r="A198" s="2">
        <v>17</v>
      </c>
      <c r="B198" s="2">
        <v>2</v>
      </c>
      <c r="C198" s="4">
        <v>-2176.313773200734</v>
      </c>
      <c r="D198" s="4">
        <v>3690.4809015558071</v>
      </c>
      <c r="E198" s="4">
        <v>2652.5245483566819</v>
      </c>
    </row>
    <row r="199" spans="1:11" x14ac:dyDescent="0.35">
      <c r="A199" s="2">
        <v>17</v>
      </c>
      <c r="B199" s="2">
        <v>3</v>
      </c>
      <c r="C199" s="4">
        <v>-1022.189676962881</v>
      </c>
      <c r="D199" s="4">
        <v>1290.3291034669189</v>
      </c>
      <c r="E199" s="4">
        <v>-2224.3268793255879</v>
      </c>
    </row>
    <row r="200" spans="1:11" x14ac:dyDescent="0.35">
      <c r="A200" s="2">
        <v>17</v>
      </c>
      <c r="B200" s="2">
        <v>4</v>
      </c>
      <c r="C200" s="4">
        <v>-4003.8145620147779</v>
      </c>
      <c r="D200" s="4">
        <v>-159.32329690706069</v>
      </c>
      <c r="E200" s="4">
        <v>-1105.738524744243</v>
      </c>
    </row>
    <row r="201" spans="1:11" x14ac:dyDescent="0.35">
      <c r="A201" s="2">
        <v>17</v>
      </c>
      <c r="B201" s="2">
        <v>5</v>
      </c>
      <c r="C201" s="4">
        <v>808.05654732218238</v>
      </c>
      <c r="D201" s="4">
        <v>-2539.849004826815</v>
      </c>
      <c r="E201" s="4">
        <v>694.6245595420894</v>
      </c>
    </row>
    <row r="202" spans="1:11" x14ac:dyDescent="0.35">
      <c r="A202" s="2">
        <v>17</v>
      </c>
      <c r="B202" s="2">
        <v>6</v>
      </c>
      <c r="C202" s="4">
        <v>-935.58817456004215</v>
      </c>
      <c r="D202" s="4">
        <v>-2880.5113346106818</v>
      </c>
      <c r="E202" s="4">
        <v>1077.854463832733</v>
      </c>
      <c r="F202" s="3" t="s">
        <v>2</v>
      </c>
      <c r="G202" s="11" t="s">
        <v>5</v>
      </c>
      <c r="H202" s="11" t="s">
        <v>6</v>
      </c>
      <c r="I202" s="11" t="s">
        <v>7</v>
      </c>
      <c r="J202" s="11" t="s">
        <v>8</v>
      </c>
      <c r="K202" s="11" t="s">
        <v>9</v>
      </c>
    </row>
    <row r="203" spans="1:11" x14ac:dyDescent="0.35">
      <c r="A203" s="2">
        <v>17</v>
      </c>
      <c r="B203" s="2">
        <v>7</v>
      </c>
      <c r="C203" s="4">
        <v>-2218.9405020502918</v>
      </c>
      <c r="D203" s="4">
        <v>-2979.4115814140068</v>
      </c>
      <c r="E203" s="4">
        <v>1074.793230020497</v>
      </c>
      <c r="F203" s="12"/>
      <c r="G203" s="11">
        <v>0.60070000000000001</v>
      </c>
      <c r="H203" s="11">
        <v>5456.37</v>
      </c>
      <c r="I203" s="11">
        <v>2.1533699999999998</v>
      </c>
      <c r="J203" s="11">
        <v>0.15524399999999999</v>
      </c>
      <c r="K203" s="11">
        <v>1.6297200000000001</v>
      </c>
    </row>
    <row r="204" spans="1:11" x14ac:dyDescent="0.35">
      <c r="A204" s="2">
        <v>17</v>
      </c>
      <c r="B204" s="2">
        <v>8</v>
      </c>
      <c r="C204" s="4">
        <v>-802.0257105379884</v>
      </c>
      <c r="D204" s="4">
        <v>-1078.809910573932</v>
      </c>
      <c r="E204" s="4">
        <v>-756.28805986830696</v>
      </c>
      <c r="F204" s="12" t="s">
        <v>3</v>
      </c>
      <c r="G204" s="11"/>
      <c r="H204" s="11"/>
      <c r="I204" s="11"/>
      <c r="J204" s="11"/>
      <c r="K204" s="11"/>
    </row>
    <row r="205" spans="1:11" x14ac:dyDescent="0.35">
      <c r="A205" s="2">
        <v>17</v>
      </c>
      <c r="B205" s="2">
        <v>9</v>
      </c>
      <c r="C205" s="4">
        <v>-4987.3827706203756</v>
      </c>
      <c r="D205" s="4">
        <v>2347.8568332010918</v>
      </c>
      <c r="E205" s="4">
        <v>-1605.932065074009</v>
      </c>
      <c r="F205" s="12"/>
      <c r="G205" s="11">
        <v>0.76770000000000005</v>
      </c>
      <c r="H205" s="11">
        <v>4611.8100000000004</v>
      </c>
      <c r="I205" s="11">
        <v>2.27393</v>
      </c>
      <c r="J205" s="11">
        <v>-0.250745</v>
      </c>
      <c r="K205" s="11">
        <v>1.5941000000000001</v>
      </c>
    </row>
    <row r="206" spans="1:11" x14ac:dyDescent="0.35">
      <c r="A206" s="2">
        <v>17</v>
      </c>
      <c r="B206" s="2">
        <v>10</v>
      </c>
      <c r="C206" s="4">
        <v>5226.016757313625</v>
      </c>
      <c r="D206" s="4">
        <v>2261.092916028208</v>
      </c>
      <c r="E206" s="4">
        <v>1772.0517590100319</v>
      </c>
      <c r="F206" s="12" t="s">
        <v>4</v>
      </c>
      <c r="G206" s="9"/>
      <c r="H206" s="9"/>
      <c r="I206" s="9"/>
      <c r="J206" s="9"/>
      <c r="K206" s="9"/>
    </row>
    <row r="207" spans="1:11" x14ac:dyDescent="0.35">
      <c r="F207" s="9"/>
      <c r="G207" s="11">
        <v>0.7298</v>
      </c>
      <c r="H207" s="11">
        <v>6251.29</v>
      </c>
      <c r="I207" s="11">
        <v>1.53102</v>
      </c>
      <c r="J207" s="11">
        <v>1.8917600000000001</v>
      </c>
      <c r="K207" s="11">
        <v>0.46314899999999998</v>
      </c>
    </row>
    <row r="211" spans="1:11" x14ac:dyDescent="0.35">
      <c r="A211" s="2">
        <v>18</v>
      </c>
      <c r="B211" s="2">
        <v>1</v>
      </c>
      <c r="C211" s="4">
        <v>6042.4629839101563</v>
      </c>
      <c r="D211" s="4">
        <v>-2574.5564369631579</v>
      </c>
      <c r="E211" s="4">
        <v>-1332.252390948481</v>
      </c>
    </row>
    <row r="212" spans="1:11" x14ac:dyDescent="0.35">
      <c r="A212" s="2">
        <v>18</v>
      </c>
      <c r="B212" s="2">
        <v>2</v>
      </c>
      <c r="C212" s="4">
        <v>-593.11229506096311</v>
      </c>
      <c r="D212" s="4">
        <v>-2545.0694778451539</v>
      </c>
      <c r="E212" s="4">
        <v>-1126.8358416974729</v>
      </c>
      <c r="F212" s="3" t="s">
        <v>2</v>
      </c>
      <c r="G212" s="11" t="s">
        <v>5</v>
      </c>
      <c r="H212" s="11" t="s">
        <v>6</v>
      </c>
      <c r="I212" s="11" t="s">
        <v>7</v>
      </c>
      <c r="J212" s="11" t="s">
        <v>8</v>
      </c>
      <c r="K212" s="11" t="s">
        <v>9</v>
      </c>
    </row>
    <row r="213" spans="1:11" x14ac:dyDescent="0.35">
      <c r="A213" s="2">
        <v>18</v>
      </c>
      <c r="B213" s="2">
        <v>3</v>
      </c>
      <c r="C213" s="4">
        <v>-6439.7090447783594</v>
      </c>
      <c r="D213" s="4">
        <v>-1767.0321425438169</v>
      </c>
      <c r="E213" s="4">
        <v>1354.79615229772</v>
      </c>
      <c r="F213" s="12"/>
      <c r="G213" s="11">
        <v>0.79669999999999996</v>
      </c>
      <c r="H213" s="11">
        <v>20350.3</v>
      </c>
      <c r="I213" s="11">
        <v>2.4298199999999999</v>
      </c>
      <c r="J213" s="11">
        <v>-0.50731999999999999</v>
      </c>
      <c r="K213" s="11">
        <v>0.44223200000000001</v>
      </c>
    </row>
    <row r="214" spans="1:11" x14ac:dyDescent="0.35">
      <c r="A214" s="2">
        <v>18</v>
      </c>
      <c r="B214" s="2">
        <v>4</v>
      </c>
      <c r="C214" s="4">
        <v>1169.0542950850779</v>
      </c>
      <c r="D214" s="4">
        <v>808.65143596095459</v>
      </c>
      <c r="E214" s="4">
        <v>1551.5178249703361</v>
      </c>
      <c r="F214" s="12" t="s">
        <v>3</v>
      </c>
      <c r="G214" s="11"/>
      <c r="H214" s="11"/>
      <c r="I214" s="11"/>
      <c r="J214" s="11"/>
      <c r="K214" s="11"/>
    </row>
    <row r="215" spans="1:11" x14ac:dyDescent="0.35">
      <c r="A215" s="2">
        <v>18</v>
      </c>
      <c r="B215" s="2">
        <v>5</v>
      </c>
      <c r="C215" s="4">
        <v>-6115.8598996972278</v>
      </c>
      <c r="D215" s="4">
        <v>2169.1528844025479</v>
      </c>
      <c r="E215" s="4">
        <v>-886.57935978831563</v>
      </c>
      <c r="F215" s="12"/>
      <c r="G215" s="11">
        <v>0.96099999999999997</v>
      </c>
      <c r="H215" s="11">
        <v>15407.1</v>
      </c>
      <c r="I215" s="11">
        <v>0.31683299999999998</v>
      </c>
      <c r="J215" s="11">
        <v>-6.2134</v>
      </c>
      <c r="K215" s="11">
        <v>0.32466699999999998</v>
      </c>
    </row>
    <row r="216" spans="1:11" x14ac:dyDescent="0.35">
      <c r="A216" s="2">
        <v>18</v>
      </c>
      <c r="B216" s="2">
        <v>6</v>
      </c>
      <c r="C216" s="4">
        <v>8598.0724547407954</v>
      </c>
      <c r="D216" s="4">
        <v>3249.495756771078</v>
      </c>
      <c r="E216" s="4">
        <v>-931.87623281735193</v>
      </c>
      <c r="F216" s="12" t="s">
        <v>4</v>
      </c>
      <c r="G216" s="9"/>
      <c r="H216" s="9"/>
      <c r="I216" s="9"/>
      <c r="J216" s="9"/>
      <c r="K216" s="9"/>
    </row>
    <row r="217" spans="1:11" x14ac:dyDescent="0.35">
      <c r="A217" s="2">
        <v>18</v>
      </c>
      <c r="B217" s="2">
        <v>7</v>
      </c>
      <c r="C217" s="4">
        <v>-4528.0178415098708</v>
      </c>
      <c r="D217" s="4">
        <v>2528.3162033227582</v>
      </c>
      <c r="E217" s="4">
        <v>-984.49004282785984</v>
      </c>
      <c r="F217" s="9"/>
      <c r="G217" s="11">
        <v>0.75060000000000004</v>
      </c>
      <c r="H217" s="11" t="s">
        <v>12</v>
      </c>
      <c r="I217" s="11" t="s">
        <v>13</v>
      </c>
      <c r="J217" s="11">
        <v>5.2637700000000001</v>
      </c>
      <c r="K217" s="11">
        <v>2.7992599999999999</v>
      </c>
    </row>
    <row r="218" spans="1:11" x14ac:dyDescent="0.35">
      <c r="A218" s="2">
        <v>18</v>
      </c>
      <c r="B218" s="2">
        <v>8</v>
      </c>
      <c r="C218" s="4">
        <v>-1575.596676481314</v>
      </c>
      <c r="D218" s="4">
        <v>1404.535238558022</v>
      </c>
      <c r="E218" s="4">
        <v>1135.805009260788</v>
      </c>
    </row>
    <row r="219" spans="1:11" x14ac:dyDescent="0.35">
      <c r="A219" s="2">
        <v>18</v>
      </c>
      <c r="B219" s="2">
        <v>9</v>
      </c>
      <c r="C219" s="4">
        <v>5506.119593721096</v>
      </c>
      <c r="D219" s="4">
        <v>-798.44739665141083</v>
      </c>
      <c r="E219" s="4">
        <v>2210.3800744538289</v>
      </c>
    </row>
    <row r="220" spans="1:11" x14ac:dyDescent="0.35">
      <c r="A220" s="2">
        <v>18</v>
      </c>
      <c r="B220" s="2">
        <v>10</v>
      </c>
      <c r="C220" s="4">
        <v>-2063.413569930105</v>
      </c>
      <c r="D220" s="4">
        <v>-2475.0460650116711</v>
      </c>
      <c r="E220" s="4">
        <v>-990.46519290300932</v>
      </c>
    </row>
    <row r="222" spans="1:11" x14ac:dyDescent="0.35">
      <c r="F222" s="3" t="s">
        <v>2</v>
      </c>
      <c r="G222" s="11" t="s">
        <v>5</v>
      </c>
      <c r="H222" s="11" t="s">
        <v>6</v>
      </c>
      <c r="I222" s="11" t="s">
        <v>7</v>
      </c>
      <c r="J222" s="11" t="s">
        <v>8</v>
      </c>
      <c r="K222" s="11" t="s">
        <v>9</v>
      </c>
    </row>
    <row r="223" spans="1:11" x14ac:dyDescent="0.35">
      <c r="A223" s="2">
        <v>19</v>
      </c>
      <c r="B223" s="2">
        <v>1</v>
      </c>
      <c r="C223" s="4">
        <v>6495.5981108472979</v>
      </c>
      <c r="D223" s="4">
        <v>2298.8292918767129</v>
      </c>
      <c r="E223" s="4">
        <v>-2536.085600237659</v>
      </c>
      <c r="F223" s="12"/>
      <c r="G223" s="11">
        <v>0.75390000000000001</v>
      </c>
      <c r="H223" s="11">
        <v>18267.900000000001</v>
      </c>
      <c r="I223" s="11">
        <v>2.43018</v>
      </c>
      <c r="J223" s="11">
        <v>-0.13300300000000001</v>
      </c>
      <c r="K223" s="11">
        <v>0.42552800000000002</v>
      </c>
    </row>
    <row r="224" spans="1:11" x14ac:dyDescent="0.35">
      <c r="A224" s="2">
        <v>19</v>
      </c>
      <c r="B224" s="2">
        <v>2</v>
      </c>
      <c r="C224" s="4">
        <v>2975.1004617769149</v>
      </c>
      <c r="D224" s="4">
        <v>2530.9892304621831</v>
      </c>
      <c r="E224" s="4">
        <v>533.50868920544383</v>
      </c>
      <c r="F224" s="12" t="s">
        <v>3</v>
      </c>
      <c r="G224" s="11"/>
      <c r="H224" s="11"/>
      <c r="I224" s="11"/>
      <c r="J224" s="11"/>
      <c r="K224" s="11"/>
    </row>
    <row r="225" spans="1:11" x14ac:dyDescent="0.35">
      <c r="A225" s="2">
        <v>19</v>
      </c>
      <c r="B225" s="2">
        <v>3</v>
      </c>
      <c r="C225" s="4">
        <v>-7441.1074320186972</v>
      </c>
      <c r="D225" s="4">
        <v>1865.667828204643</v>
      </c>
      <c r="E225" s="4">
        <v>-1153.868122139598</v>
      </c>
      <c r="F225" s="12"/>
      <c r="G225" s="11">
        <v>0.94550000000000001</v>
      </c>
      <c r="H225" s="11">
        <v>4045.98</v>
      </c>
      <c r="I225" s="11">
        <v>1.8625799999999999</v>
      </c>
      <c r="J225" s="11">
        <v>-0.40054099999999998</v>
      </c>
      <c r="K225" s="11">
        <v>1.22367</v>
      </c>
    </row>
    <row r="226" spans="1:11" x14ac:dyDescent="0.35">
      <c r="A226" s="2">
        <v>19</v>
      </c>
      <c r="B226" s="2">
        <v>4</v>
      </c>
      <c r="C226" s="4">
        <v>157.46474538068441</v>
      </c>
      <c r="D226" s="4">
        <v>-822.16670636465494</v>
      </c>
      <c r="E226" s="4">
        <v>451.63079424681581</v>
      </c>
      <c r="F226" s="12" t="s">
        <v>4</v>
      </c>
      <c r="G226" s="9"/>
      <c r="H226" s="9"/>
      <c r="I226" s="9"/>
      <c r="J226" s="9"/>
      <c r="K226" s="9"/>
    </row>
    <row r="227" spans="1:11" x14ac:dyDescent="0.35">
      <c r="A227" s="2">
        <v>19</v>
      </c>
      <c r="B227" s="2">
        <v>5</v>
      </c>
      <c r="C227" s="4">
        <v>522.0716112405072</v>
      </c>
      <c r="D227" s="4">
        <v>-2427.5499139420699</v>
      </c>
      <c r="E227" s="4">
        <v>531.04656444975501</v>
      </c>
      <c r="F227" s="9"/>
      <c r="G227" s="11">
        <v>0.79859999999999998</v>
      </c>
      <c r="H227" s="11">
        <v>1631</v>
      </c>
      <c r="I227" s="11">
        <v>0.80397099999999999</v>
      </c>
      <c r="J227" s="11">
        <v>-0.52326799999999996</v>
      </c>
      <c r="K227" s="11">
        <v>1.47644</v>
      </c>
    </row>
    <row r="228" spans="1:11" x14ac:dyDescent="0.35">
      <c r="A228" s="2">
        <v>19</v>
      </c>
      <c r="B228" s="2">
        <v>6</v>
      </c>
      <c r="C228" s="4">
        <v>-6982.2323897168608</v>
      </c>
      <c r="D228" s="4">
        <v>-2294.890435995304</v>
      </c>
      <c r="E228" s="4">
        <v>-566.72215845904532</v>
      </c>
    </row>
    <row r="229" spans="1:11" x14ac:dyDescent="0.35">
      <c r="A229" s="2">
        <v>19</v>
      </c>
      <c r="B229" s="2">
        <v>7</v>
      </c>
      <c r="C229" s="4">
        <v>-1068.526739152388</v>
      </c>
      <c r="D229" s="4">
        <v>-2241.414919776932</v>
      </c>
      <c r="E229" s="4">
        <v>-1039.0334870229519</v>
      </c>
    </row>
    <row r="230" spans="1:11" x14ac:dyDescent="0.35">
      <c r="A230" s="2">
        <v>19</v>
      </c>
      <c r="B230" s="2">
        <v>8</v>
      </c>
      <c r="C230" s="4">
        <v>10327.55721909615</v>
      </c>
      <c r="D230" s="4">
        <v>-1790.162667390842</v>
      </c>
      <c r="E230" s="4">
        <v>791.89996525111417</v>
      </c>
    </row>
    <row r="231" spans="1:11" x14ac:dyDescent="0.35">
      <c r="A231" s="2">
        <v>19</v>
      </c>
      <c r="B231" s="2">
        <v>9</v>
      </c>
      <c r="C231" s="4">
        <v>-2547.3565348183379</v>
      </c>
      <c r="D231" s="4">
        <v>813.03056333579354</v>
      </c>
      <c r="E231" s="4">
        <v>76.785123836666656</v>
      </c>
    </row>
    <row r="232" spans="1:11" x14ac:dyDescent="0.35">
      <c r="A232" s="2">
        <v>19</v>
      </c>
      <c r="B232" s="2">
        <v>10</v>
      </c>
      <c r="C232" s="4">
        <v>-2438.5690526355738</v>
      </c>
      <c r="D232" s="4">
        <v>2067.667729590341</v>
      </c>
      <c r="E232" s="4">
        <v>2910.8382308698292</v>
      </c>
      <c r="F232" s="3" t="s">
        <v>2</v>
      </c>
      <c r="G232" s="11" t="s">
        <v>5</v>
      </c>
      <c r="H232" s="11" t="s">
        <v>6</v>
      </c>
      <c r="I232" s="11" t="s">
        <v>7</v>
      </c>
      <c r="J232" s="11" t="s">
        <v>8</v>
      </c>
      <c r="K232" s="11" t="s">
        <v>9</v>
      </c>
    </row>
    <row r="233" spans="1:11" x14ac:dyDescent="0.35">
      <c r="F233" s="12"/>
      <c r="G233" s="11">
        <v>0.81710000000000005</v>
      </c>
      <c r="H233" s="11">
        <v>2239.27</v>
      </c>
      <c r="I233" s="11">
        <v>2239.27</v>
      </c>
      <c r="J233" s="11">
        <v>0.56450900000000004</v>
      </c>
      <c r="K233" s="11">
        <v>2.90463</v>
      </c>
    </row>
    <row r="234" spans="1:11" x14ac:dyDescent="0.35">
      <c r="F234" s="12" t="s">
        <v>3</v>
      </c>
      <c r="G234" s="11"/>
      <c r="H234" s="11"/>
      <c r="I234" s="11"/>
      <c r="J234" s="11"/>
      <c r="K234" s="11"/>
    </row>
    <row r="235" spans="1:11" x14ac:dyDescent="0.35">
      <c r="A235" s="2">
        <v>20</v>
      </c>
      <c r="B235" s="2">
        <v>1</v>
      </c>
      <c r="C235" s="4">
        <v>6431.1710105073798</v>
      </c>
      <c r="D235" s="4">
        <v>1816.870706530611</v>
      </c>
      <c r="E235" s="4">
        <v>2942.753762418492</v>
      </c>
      <c r="F235" s="12"/>
      <c r="G235" s="11">
        <v>0.80740000000000001</v>
      </c>
      <c r="H235" s="11">
        <v>1175.33</v>
      </c>
      <c r="I235" s="11">
        <v>1.5375700000000001</v>
      </c>
      <c r="J235" s="11">
        <v>-0.48963299999999998</v>
      </c>
      <c r="K235" s="11">
        <v>2.2264200000000001</v>
      </c>
    </row>
    <row r="236" spans="1:11" x14ac:dyDescent="0.35">
      <c r="A236" s="2">
        <v>20</v>
      </c>
      <c r="B236" s="2">
        <v>2</v>
      </c>
      <c r="C236" s="4">
        <v>-3719.5178511890449</v>
      </c>
      <c r="D236" s="4">
        <v>3069.7750080961619</v>
      </c>
      <c r="E236" s="4">
        <v>-1005.969998190602</v>
      </c>
      <c r="F236" s="12" t="s">
        <v>4</v>
      </c>
      <c r="G236" s="9"/>
      <c r="H236" s="9"/>
      <c r="I236" s="9"/>
      <c r="J236" s="9"/>
      <c r="K236" s="9"/>
    </row>
    <row r="237" spans="1:11" x14ac:dyDescent="0.35">
      <c r="A237" s="2">
        <v>20</v>
      </c>
      <c r="B237" s="2">
        <v>3</v>
      </c>
      <c r="C237" s="4">
        <v>-5014.9244256058273</v>
      </c>
      <c r="D237" s="4">
        <v>1015.4726010696691</v>
      </c>
      <c r="E237" s="4">
        <v>1254.046234821368</v>
      </c>
      <c r="F237" s="9"/>
      <c r="G237" s="11">
        <v>0.68830000000000002</v>
      </c>
      <c r="H237" s="11">
        <v>2714.04</v>
      </c>
      <c r="I237" s="11">
        <v>1.78009</v>
      </c>
      <c r="J237" s="11">
        <v>-8.18879E-2</v>
      </c>
      <c r="K237" s="11">
        <v>0.67639400000000005</v>
      </c>
    </row>
    <row r="238" spans="1:11" x14ac:dyDescent="0.35">
      <c r="A238" s="2">
        <v>20</v>
      </c>
      <c r="B238" s="2">
        <v>4</v>
      </c>
      <c r="C238" s="4">
        <v>-3690.8050348724591</v>
      </c>
      <c r="D238" s="4">
        <v>-1090.3867824923241</v>
      </c>
      <c r="E238" s="4">
        <v>806.7978301520817</v>
      </c>
    </row>
    <row r="239" spans="1:11" x14ac:dyDescent="0.35">
      <c r="A239" s="2">
        <v>20</v>
      </c>
      <c r="B239" s="2">
        <v>5</v>
      </c>
      <c r="C239" s="4">
        <v>8369.9417684578329</v>
      </c>
      <c r="D239" s="4">
        <v>-2111.842487528766</v>
      </c>
      <c r="E239" s="4">
        <v>-761.85469425922111</v>
      </c>
    </row>
    <row r="240" spans="1:11" x14ac:dyDescent="0.35">
      <c r="A240" s="2">
        <v>20</v>
      </c>
      <c r="B240" s="2">
        <v>6</v>
      </c>
      <c r="C240" s="4">
        <v>-4884.6959735603432</v>
      </c>
      <c r="D240" s="4">
        <v>-1916.413014644696</v>
      </c>
      <c r="E240" s="4">
        <v>0.35504234270921908</v>
      </c>
    </row>
    <row r="241" spans="1:11" x14ac:dyDescent="0.35">
      <c r="A241" s="2">
        <v>20</v>
      </c>
      <c r="B241" s="2">
        <v>7</v>
      </c>
      <c r="C241" s="4">
        <v>-2300.5084551494042</v>
      </c>
      <c r="D241" s="4">
        <v>-2173.8449282807128</v>
      </c>
      <c r="E241" s="4">
        <v>-180.52288662079161</v>
      </c>
    </row>
    <row r="242" spans="1:11" x14ac:dyDescent="0.35">
      <c r="A242" s="2">
        <v>20</v>
      </c>
      <c r="B242" s="2">
        <v>8</v>
      </c>
      <c r="C242" s="4">
        <v>2551.9015832450832</v>
      </c>
      <c r="D242" s="4">
        <v>-1536.1160839613719</v>
      </c>
      <c r="E242" s="4">
        <v>-136.76650487142871</v>
      </c>
      <c r="F242" s="3" t="s">
        <v>2</v>
      </c>
      <c r="G242" s="11" t="s">
        <v>5</v>
      </c>
      <c r="H242" s="11" t="s">
        <v>6</v>
      </c>
      <c r="I242" s="11" t="s">
        <v>7</v>
      </c>
      <c r="J242" s="11" t="s">
        <v>8</v>
      </c>
      <c r="K242" s="11" t="s">
        <v>9</v>
      </c>
    </row>
    <row r="243" spans="1:11" x14ac:dyDescent="0.35">
      <c r="A243" s="2">
        <v>20</v>
      </c>
      <c r="B243" s="2">
        <v>9</v>
      </c>
      <c r="C243" s="4">
        <v>-2765.23540245198</v>
      </c>
      <c r="D243" s="4">
        <v>855.58459550245402</v>
      </c>
      <c r="E243" s="4">
        <v>-972.29068578225144</v>
      </c>
      <c r="F243" s="12"/>
      <c r="G243" s="11">
        <v>0.75639999999999996</v>
      </c>
      <c r="H243" s="11">
        <v>10876.8</v>
      </c>
      <c r="I243" s="11">
        <v>0.79701200000000005</v>
      </c>
      <c r="J243" s="11">
        <v>-2.9682900000000001</v>
      </c>
      <c r="K243" s="11">
        <v>0.95084299999999999</v>
      </c>
    </row>
    <row r="244" spans="1:11" x14ac:dyDescent="0.35">
      <c r="A244" s="2">
        <v>20</v>
      </c>
      <c r="B244" s="2">
        <v>10</v>
      </c>
      <c r="C244" s="4">
        <v>5022.6727806192166</v>
      </c>
      <c r="D244" s="4">
        <v>2070.9003857088628</v>
      </c>
      <c r="E244" s="4">
        <v>-1946.548100010368</v>
      </c>
      <c r="F244" s="12" t="s">
        <v>3</v>
      </c>
      <c r="G244" s="11"/>
      <c r="H244" s="11"/>
      <c r="I244" s="11"/>
      <c r="J244" s="11"/>
      <c r="K244" s="11"/>
    </row>
    <row r="245" spans="1:11" x14ac:dyDescent="0.35">
      <c r="F245" s="12"/>
      <c r="G245" s="11">
        <v>0.94269999999999998</v>
      </c>
      <c r="H245" s="11">
        <v>915.41300000000001</v>
      </c>
      <c r="I245" s="11">
        <v>3.0359699999999998</v>
      </c>
      <c r="J245" s="11">
        <v>0.39297700000000002</v>
      </c>
      <c r="K245" s="11">
        <v>2.4552700000000001</v>
      </c>
    </row>
    <row r="246" spans="1:11" x14ac:dyDescent="0.35">
      <c r="F246" s="12" t="s">
        <v>4</v>
      </c>
      <c r="G246" s="9"/>
      <c r="H246" s="9"/>
      <c r="I246" s="9"/>
      <c r="J246" s="9"/>
      <c r="K246" s="9"/>
    </row>
    <row r="247" spans="1:11" x14ac:dyDescent="0.35">
      <c r="A247" s="2">
        <v>21</v>
      </c>
      <c r="B247" s="2">
        <v>1</v>
      </c>
      <c r="C247" s="4">
        <v>17272.228146695528</v>
      </c>
      <c r="D247" s="4">
        <v>169.3987307925785</v>
      </c>
      <c r="E247" s="4">
        <v>-330.7796755449009</v>
      </c>
      <c r="F247" s="9"/>
      <c r="G247" s="11">
        <v>0.97840000000000005</v>
      </c>
      <c r="H247" s="11">
        <v>826.62800000000004</v>
      </c>
      <c r="I247" s="11">
        <v>1.54915</v>
      </c>
      <c r="J247" s="11">
        <v>-0.14678099999999999</v>
      </c>
      <c r="K247" s="11">
        <v>2.7353800000000001</v>
      </c>
    </row>
    <row r="248" spans="1:11" x14ac:dyDescent="0.35">
      <c r="A248" s="2">
        <v>21</v>
      </c>
      <c r="B248" s="2">
        <v>2</v>
      </c>
      <c r="C248" s="4">
        <v>-395.82214787933611</v>
      </c>
      <c r="D248" s="4">
        <v>8626.8414392012364</v>
      </c>
      <c r="E248" s="4">
        <v>5.7500043880090397</v>
      </c>
    </row>
    <row r="249" spans="1:11" x14ac:dyDescent="0.35">
      <c r="A249" s="2">
        <v>21</v>
      </c>
      <c r="B249" s="2">
        <v>3</v>
      </c>
      <c r="C249" s="4">
        <v>-1879.6114590661321</v>
      </c>
      <c r="D249" s="4">
        <v>-2291.1833243259648</v>
      </c>
      <c r="E249" s="4">
        <v>3439.7621606904409</v>
      </c>
    </row>
    <row r="250" spans="1:11" x14ac:dyDescent="0.35">
      <c r="A250" s="2">
        <v>21</v>
      </c>
      <c r="B250" s="2">
        <v>4</v>
      </c>
      <c r="C250" s="4">
        <v>-1003.837736008903</v>
      </c>
      <c r="D250" s="4">
        <v>-2776.060547679308</v>
      </c>
      <c r="E250" s="4">
        <v>-474.26302323694432</v>
      </c>
    </row>
    <row r="251" spans="1:11" x14ac:dyDescent="0.35">
      <c r="A251" s="2">
        <v>21</v>
      </c>
      <c r="B251" s="2">
        <v>5</v>
      </c>
      <c r="C251" s="4">
        <v>-3105.4068953651158</v>
      </c>
      <c r="D251" s="4">
        <v>-2109.1090512365631</v>
      </c>
      <c r="E251" s="4">
        <v>-1405.066648256299</v>
      </c>
    </row>
    <row r="252" spans="1:11" x14ac:dyDescent="0.35">
      <c r="A252" s="2">
        <v>21</v>
      </c>
      <c r="B252" s="2">
        <v>6</v>
      </c>
      <c r="C252" s="4">
        <v>-1356.7270978756139</v>
      </c>
      <c r="D252" s="4">
        <v>-3264.9063677970598</v>
      </c>
      <c r="E252" s="4">
        <v>-1922.043478155495</v>
      </c>
      <c r="F252" s="3" t="s">
        <v>2</v>
      </c>
      <c r="G252" s="11" t="s">
        <v>5</v>
      </c>
      <c r="H252" s="11" t="s">
        <v>6</v>
      </c>
      <c r="I252" s="11" t="s">
        <v>7</v>
      </c>
      <c r="J252" s="11" t="s">
        <v>8</v>
      </c>
      <c r="K252" s="11" t="s">
        <v>9</v>
      </c>
    </row>
    <row r="253" spans="1:11" x14ac:dyDescent="0.35">
      <c r="A253" s="2">
        <v>21</v>
      </c>
      <c r="B253" s="2">
        <v>7</v>
      </c>
      <c r="C253" s="4">
        <v>-2443.18457262845</v>
      </c>
      <c r="D253" s="4">
        <v>-2115.4820250996049</v>
      </c>
      <c r="E253" s="4">
        <v>-2226.813756887605</v>
      </c>
      <c r="F253" s="12"/>
      <c r="G253" s="11">
        <v>0.7389</v>
      </c>
      <c r="H253" s="11">
        <v>4372.3100000000004</v>
      </c>
      <c r="I253" s="11">
        <v>2.2353900000000002</v>
      </c>
      <c r="J253" s="11">
        <v>-0.71506000000000003</v>
      </c>
      <c r="K253" s="11">
        <v>1.7645599999999999</v>
      </c>
    </row>
    <row r="254" spans="1:11" x14ac:dyDescent="0.35">
      <c r="A254" s="2">
        <v>21</v>
      </c>
      <c r="B254" s="2">
        <v>8</v>
      </c>
      <c r="C254" s="4">
        <v>-3121.2606774718802</v>
      </c>
      <c r="D254" s="4">
        <v>-1774.8001856565511</v>
      </c>
      <c r="E254" s="4">
        <v>-629.45441087140068</v>
      </c>
      <c r="F254" s="12" t="s">
        <v>3</v>
      </c>
      <c r="G254" s="11"/>
      <c r="H254" s="11"/>
      <c r="I254" s="11"/>
      <c r="J254" s="11"/>
      <c r="K254" s="11"/>
    </row>
    <row r="255" spans="1:11" x14ac:dyDescent="0.35">
      <c r="A255" s="2">
        <v>21</v>
      </c>
      <c r="B255" s="2">
        <v>9</v>
      </c>
      <c r="C255" s="4">
        <v>-547.90023807712862</v>
      </c>
      <c r="D255" s="4">
        <v>-3263.9782328956371</v>
      </c>
      <c r="E255" s="4">
        <v>3288.5597619411319</v>
      </c>
      <c r="F255" s="12"/>
      <c r="G255" s="11">
        <v>0.96689999999999998</v>
      </c>
      <c r="H255" s="11">
        <v>2216.85</v>
      </c>
      <c r="I255" s="11">
        <v>1.2527699999999999</v>
      </c>
      <c r="J255" s="11">
        <v>-2.2456499999999999</v>
      </c>
      <c r="K255" s="11">
        <v>1.9000600000000001</v>
      </c>
    </row>
    <row r="256" spans="1:11" x14ac:dyDescent="0.35">
      <c r="A256" s="2">
        <v>21</v>
      </c>
      <c r="B256" s="2">
        <v>10</v>
      </c>
      <c r="C256" s="4">
        <v>-3418.4773223235961</v>
      </c>
      <c r="D256" s="4">
        <v>8799.2795646972718</v>
      </c>
      <c r="E256" s="4">
        <v>254.34906593298081</v>
      </c>
      <c r="F256" s="12" t="s">
        <v>4</v>
      </c>
      <c r="G256" s="9"/>
      <c r="H256" s="9"/>
      <c r="I256" s="9"/>
      <c r="J256" s="9"/>
      <c r="K256" s="9"/>
    </row>
    <row r="257" spans="1:11" x14ac:dyDescent="0.35">
      <c r="F257" s="9"/>
      <c r="G257" s="9">
        <v>0.39460000000000001</v>
      </c>
      <c r="H257" s="9"/>
      <c r="I257" s="9"/>
      <c r="J257" s="9"/>
      <c r="K257" s="9"/>
    </row>
    <row r="260" spans="1:11" x14ac:dyDescent="0.35">
      <c r="A260" s="2">
        <v>22</v>
      </c>
      <c r="B260" s="2">
        <v>1</v>
      </c>
      <c r="C260" s="4">
        <v>-5806.9609612845479</v>
      </c>
      <c r="D260" s="4">
        <v>2736.7033235395679</v>
      </c>
      <c r="E260" s="4">
        <v>3168.399633013832</v>
      </c>
    </row>
    <row r="261" spans="1:11" x14ac:dyDescent="0.35">
      <c r="A261" s="2">
        <v>22</v>
      </c>
      <c r="B261" s="2">
        <v>2</v>
      </c>
      <c r="C261" s="4">
        <v>-1640.729529059618</v>
      </c>
      <c r="D261" s="4">
        <v>2171.7013408180151</v>
      </c>
      <c r="E261" s="4">
        <v>-2102.5978911433981</v>
      </c>
    </row>
    <row r="262" spans="1:11" x14ac:dyDescent="0.35">
      <c r="A262" s="2">
        <v>22</v>
      </c>
      <c r="B262" s="2">
        <v>3</v>
      </c>
      <c r="C262" s="4">
        <v>8731.2958904836687</v>
      </c>
      <c r="D262" s="4">
        <v>1073.688285950077</v>
      </c>
      <c r="E262" s="4">
        <v>161.05431580061591</v>
      </c>
      <c r="F262" s="3" t="s">
        <v>2</v>
      </c>
      <c r="G262" s="11" t="s">
        <v>5</v>
      </c>
      <c r="H262" s="11" t="s">
        <v>6</v>
      </c>
      <c r="I262" s="11" t="s">
        <v>7</v>
      </c>
      <c r="J262" s="11" t="s">
        <v>8</v>
      </c>
      <c r="K262" s="11" t="s">
        <v>9</v>
      </c>
    </row>
    <row r="263" spans="1:11" x14ac:dyDescent="0.35">
      <c r="A263" s="2">
        <v>22</v>
      </c>
      <c r="B263" s="2">
        <v>4</v>
      </c>
      <c r="C263" s="4">
        <v>-5310.0750487390478</v>
      </c>
      <c r="D263" s="4">
        <v>-1080.561687897442</v>
      </c>
      <c r="E263" s="4">
        <v>-428.37252515890452</v>
      </c>
      <c r="F263" s="12"/>
      <c r="G263" s="11">
        <v>0.68410000000000004</v>
      </c>
      <c r="H263" s="11">
        <v>8503.84</v>
      </c>
      <c r="I263" s="11">
        <v>2.2160000000000002</v>
      </c>
      <c r="J263" s="11">
        <v>-0.65421899999999999</v>
      </c>
      <c r="K263" s="11">
        <v>1.0084500000000001</v>
      </c>
    </row>
    <row r="264" spans="1:11" x14ac:dyDescent="0.35">
      <c r="A264" s="2">
        <v>22</v>
      </c>
      <c r="B264" s="2">
        <v>5</v>
      </c>
      <c r="C264" s="4">
        <v>4616.5504837367653</v>
      </c>
      <c r="D264" s="4">
        <v>-1822.9749403663791</v>
      </c>
      <c r="E264" s="4">
        <v>652.76642744197329</v>
      </c>
      <c r="F264" s="12" t="s">
        <v>3</v>
      </c>
      <c r="G264" s="11"/>
      <c r="H264" s="11"/>
      <c r="I264" s="11"/>
      <c r="J264" s="11"/>
      <c r="K264" s="11"/>
    </row>
    <row r="265" spans="1:11" x14ac:dyDescent="0.35">
      <c r="A265" s="2">
        <v>22</v>
      </c>
      <c r="B265" s="2">
        <v>6</v>
      </c>
      <c r="C265" s="4">
        <v>200.67640852323939</v>
      </c>
      <c r="D265" s="4">
        <v>-1818.3734015408211</v>
      </c>
      <c r="E265" s="4">
        <v>518.41431443848069</v>
      </c>
      <c r="F265" s="12"/>
      <c r="G265" s="11">
        <v>0.98980000000000001</v>
      </c>
      <c r="H265" s="11">
        <v>1893.96</v>
      </c>
      <c r="I265" s="11">
        <v>1.2460899999999999</v>
      </c>
      <c r="J265" s="11">
        <v>-2.24566</v>
      </c>
      <c r="K265" s="11">
        <v>1.9029100000000001</v>
      </c>
    </row>
    <row r="266" spans="1:11" x14ac:dyDescent="0.35">
      <c r="A266" s="2">
        <v>22</v>
      </c>
      <c r="B266" s="2">
        <v>7</v>
      </c>
      <c r="C266" s="4">
        <v>-4044.0058156432392</v>
      </c>
      <c r="D266" s="4">
        <v>-2347.6437789810302</v>
      </c>
      <c r="E266" s="4">
        <v>-70.048661519231786</v>
      </c>
      <c r="F266" s="12" t="s">
        <v>4</v>
      </c>
      <c r="G266" s="9"/>
      <c r="H266" s="9"/>
      <c r="I266" s="9"/>
      <c r="J266" s="9"/>
      <c r="K266" s="9"/>
    </row>
    <row r="267" spans="1:11" x14ac:dyDescent="0.35">
      <c r="A267" s="2">
        <v>22</v>
      </c>
      <c r="B267" s="2">
        <v>8</v>
      </c>
      <c r="C267" s="4">
        <v>-2373.6052975202779</v>
      </c>
      <c r="D267" s="4">
        <v>-1391.096640160971</v>
      </c>
      <c r="E267" s="4">
        <v>-259.69306824495538</v>
      </c>
      <c r="F267" s="9"/>
      <c r="G267" s="5">
        <v>0.91539999999999999</v>
      </c>
      <c r="H267" s="5" t="s">
        <v>14</v>
      </c>
      <c r="I267" s="5">
        <v>3.1415899999999999</v>
      </c>
      <c r="J267" s="5">
        <v>1</v>
      </c>
      <c r="K267" s="5">
        <v>0.86676600000000004</v>
      </c>
    </row>
    <row r="268" spans="1:11" x14ac:dyDescent="0.35">
      <c r="A268" s="2">
        <v>22</v>
      </c>
      <c r="B268" s="2">
        <v>9</v>
      </c>
      <c r="C268" s="4">
        <v>8796.5895539452667</v>
      </c>
      <c r="D268" s="4">
        <v>683.90948158984713</v>
      </c>
      <c r="E268" s="4">
        <v>171.54018558693019</v>
      </c>
    </row>
    <row r="269" spans="1:11" x14ac:dyDescent="0.35">
      <c r="A269" s="2">
        <v>22</v>
      </c>
      <c r="B269" s="2">
        <v>10</v>
      </c>
      <c r="C269" s="4">
        <v>-3169.7356844419119</v>
      </c>
      <c r="D269" s="4">
        <v>1794.648017049193</v>
      </c>
      <c r="E269" s="4">
        <v>-1811.4627302152589</v>
      </c>
    </row>
    <row r="272" spans="1:11" x14ac:dyDescent="0.35">
      <c r="F272" s="3" t="s">
        <v>2</v>
      </c>
      <c r="G272" s="11" t="s">
        <v>5</v>
      </c>
      <c r="H272" s="11" t="s">
        <v>6</v>
      </c>
      <c r="I272" s="11" t="s">
        <v>7</v>
      </c>
      <c r="J272" s="11" t="s">
        <v>8</v>
      </c>
      <c r="K272" s="11" t="s">
        <v>9</v>
      </c>
    </row>
    <row r="273" spans="1:11" x14ac:dyDescent="0.35">
      <c r="F273" s="12"/>
      <c r="G273" s="11">
        <v>0.70679999999999998</v>
      </c>
      <c r="H273" s="11">
        <v>5538.44</v>
      </c>
      <c r="I273" s="11">
        <v>2.3477999999999999</v>
      </c>
      <c r="J273" s="11">
        <v>0.87976600000000005</v>
      </c>
      <c r="K273" s="11">
        <v>1.2506299999999999</v>
      </c>
    </row>
    <row r="274" spans="1:11" x14ac:dyDescent="0.35">
      <c r="A274" s="2">
        <v>23</v>
      </c>
      <c r="B274" s="2">
        <v>1</v>
      </c>
      <c r="C274" s="4">
        <v>1927.8924981979801</v>
      </c>
      <c r="D274" s="4">
        <v>2488.4948741603512</v>
      </c>
      <c r="E274" s="4">
        <v>1094.4029034850321</v>
      </c>
      <c r="F274" s="12" t="s">
        <v>3</v>
      </c>
      <c r="G274" s="11"/>
      <c r="H274" s="11"/>
      <c r="I274" s="11"/>
      <c r="J274" s="11"/>
      <c r="K274" s="11"/>
    </row>
    <row r="275" spans="1:11" x14ac:dyDescent="0.35">
      <c r="A275" s="2">
        <v>23</v>
      </c>
      <c r="B275" s="2">
        <v>2</v>
      </c>
      <c r="C275" s="4">
        <v>-3660.3801312138512</v>
      </c>
      <c r="D275" s="4">
        <v>2475.1346518640521</v>
      </c>
      <c r="E275" s="4">
        <v>-1736.625568711029</v>
      </c>
      <c r="F275" s="12"/>
      <c r="G275" s="11">
        <v>0.98809999999999998</v>
      </c>
      <c r="H275" s="11">
        <v>768.97400000000005</v>
      </c>
      <c r="I275" s="11">
        <v>3.08914</v>
      </c>
      <c r="J275" s="11">
        <v>-0.51367799999999997</v>
      </c>
      <c r="K275" s="11">
        <v>2.4867900000000001</v>
      </c>
    </row>
    <row r="276" spans="1:11" x14ac:dyDescent="0.35">
      <c r="A276" s="2">
        <v>23</v>
      </c>
      <c r="B276" s="2">
        <v>3</v>
      </c>
      <c r="C276" s="4">
        <v>9065.6869872553016</v>
      </c>
      <c r="D276" s="4">
        <v>-981.10089239469733</v>
      </c>
      <c r="E276" s="4">
        <v>-1152.0279873680979</v>
      </c>
      <c r="F276" s="12" t="s">
        <v>4</v>
      </c>
      <c r="G276" s="9"/>
      <c r="H276" s="9"/>
      <c r="I276" s="9"/>
      <c r="J276" s="9"/>
      <c r="K276" s="9"/>
    </row>
    <row r="277" spans="1:11" x14ac:dyDescent="0.35">
      <c r="A277" s="2">
        <v>23</v>
      </c>
      <c r="B277" s="2">
        <v>4</v>
      </c>
      <c r="C277" s="4">
        <v>-2255.847578795564</v>
      </c>
      <c r="D277" s="4">
        <v>-922.88922857465627</v>
      </c>
      <c r="E277" s="4">
        <v>-1194.915008673971</v>
      </c>
      <c r="F277" s="9"/>
      <c r="G277" s="5">
        <v>0.90490000000000004</v>
      </c>
      <c r="H277" s="5" t="s">
        <v>15</v>
      </c>
      <c r="I277" s="5">
        <v>3.1415899999999999</v>
      </c>
      <c r="J277" s="5">
        <v>3.1415899999999999</v>
      </c>
      <c r="K277" s="5">
        <v>2.0593400000000002</v>
      </c>
    </row>
    <row r="278" spans="1:11" x14ac:dyDescent="0.35">
      <c r="A278" s="2">
        <v>23</v>
      </c>
      <c r="B278" s="2">
        <v>5</v>
      </c>
      <c r="C278" s="4">
        <v>341.37859502165168</v>
      </c>
      <c r="D278" s="4">
        <v>-2132.7025284996671</v>
      </c>
      <c r="E278" s="4">
        <v>-263.50245919230917</v>
      </c>
    </row>
    <row r="279" spans="1:11" x14ac:dyDescent="0.35">
      <c r="A279" s="2">
        <v>23</v>
      </c>
      <c r="B279" s="2">
        <v>6</v>
      </c>
      <c r="C279" s="4">
        <v>1909.3708524841491</v>
      </c>
      <c r="D279" s="4">
        <v>-1960.414601160104</v>
      </c>
      <c r="E279" s="4">
        <v>1948.6826792636521</v>
      </c>
    </row>
    <row r="280" spans="1:11" x14ac:dyDescent="0.35">
      <c r="A280" s="2">
        <v>23</v>
      </c>
      <c r="B280" s="2">
        <v>7</v>
      </c>
      <c r="C280" s="4">
        <v>-4860.8931326605407</v>
      </c>
      <c r="D280" s="4">
        <v>-1895.6402397295301</v>
      </c>
      <c r="E280" s="4">
        <v>-391.17375437476272</v>
      </c>
    </row>
    <row r="281" spans="1:11" x14ac:dyDescent="0.35">
      <c r="A281" s="2">
        <v>23</v>
      </c>
      <c r="B281" s="2">
        <v>8</v>
      </c>
      <c r="C281" s="4">
        <v>-5215.2599929350254</v>
      </c>
      <c r="D281" s="4">
        <v>-300.61562691542679</v>
      </c>
      <c r="E281" s="4">
        <v>277.69492060273319</v>
      </c>
    </row>
    <row r="282" spans="1:11" x14ac:dyDescent="0.35">
      <c r="A282" s="2">
        <v>23</v>
      </c>
      <c r="B282" s="2">
        <v>9</v>
      </c>
      <c r="C282" s="4">
        <v>-407.01571583034718</v>
      </c>
      <c r="D282" s="4">
        <v>1523.3401023283111</v>
      </c>
      <c r="E282" s="4">
        <v>2603.651585213619</v>
      </c>
      <c r="F282" s="3" t="s">
        <v>2</v>
      </c>
      <c r="G282" s="11" t="s">
        <v>5</v>
      </c>
      <c r="H282" s="11" t="s">
        <v>6</v>
      </c>
      <c r="I282" s="11" t="s">
        <v>7</v>
      </c>
      <c r="J282" s="11" t="s">
        <v>8</v>
      </c>
      <c r="K282" s="11" t="s">
        <v>9</v>
      </c>
    </row>
    <row r="283" spans="1:11" x14ac:dyDescent="0.35">
      <c r="A283" s="2">
        <v>23</v>
      </c>
      <c r="B283" s="2">
        <v>10</v>
      </c>
      <c r="C283" s="4">
        <v>3155.0676184761628</v>
      </c>
      <c r="D283" s="4">
        <v>1706.393488921696</v>
      </c>
      <c r="E283" s="4">
        <v>-1186.1873102447221</v>
      </c>
      <c r="F283" s="12"/>
      <c r="G283" s="11">
        <v>0.77390000000000003</v>
      </c>
      <c r="H283" s="11">
        <v>4109.24</v>
      </c>
      <c r="I283" s="11">
        <v>0.32004500000000002</v>
      </c>
      <c r="J283" s="11">
        <v>2.7724500000000001</v>
      </c>
      <c r="K283" s="11">
        <v>1.63182</v>
      </c>
    </row>
    <row r="284" spans="1:11" x14ac:dyDescent="0.35">
      <c r="F284" s="12" t="s">
        <v>3</v>
      </c>
      <c r="G284" s="11"/>
      <c r="H284" s="11"/>
      <c r="I284" s="11"/>
      <c r="J284" s="11"/>
      <c r="K284" s="11"/>
    </row>
    <row r="285" spans="1:11" x14ac:dyDescent="0.35">
      <c r="F285" s="12"/>
      <c r="G285" s="11">
        <v>0.92330000000000001</v>
      </c>
      <c r="H285" s="11">
        <v>1867.99</v>
      </c>
      <c r="I285" s="11">
        <v>1.2783199999999999</v>
      </c>
      <c r="J285" s="11">
        <v>0.47729199999999999</v>
      </c>
      <c r="K285" s="11">
        <v>1.9036900000000001</v>
      </c>
    </row>
    <row r="286" spans="1:11" x14ac:dyDescent="0.35">
      <c r="A286" s="2">
        <v>24</v>
      </c>
      <c r="B286" s="2">
        <v>1</v>
      </c>
      <c r="C286" s="4">
        <v>4765.3244263521119</v>
      </c>
      <c r="D286" s="4">
        <v>-1333.792615462793</v>
      </c>
      <c r="E286" s="4">
        <v>2885.336101641823</v>
      </c>
      <c r="F286" s="12" t="s">
        <v>4</v>
      </c>
      <c r="G286" s="9"/>
      <c r="H286" s="9"/>
      <c r="I286" s="9"/>
      <c r="J286" s="9"/>
      <c r="K286" s="9"/>
    </row>
    <row r="287" spans="1:11" x14ac:dyDescent="0.35">
      <c r="A287" s="2">
        <v>24</v>
      </c>
      <c r="B287" s="2">
        <v>2</v>
      </c>
      <c r="C287" s="4">
        <v>3101.4967721630828</v>
      </c>
      <c r="D287" s="4">
        <v>-53.249243346518313</v>
      </c>
      <c r="E287" s="4">
        <v>-1561.043823141094</v>
      </c>
      <c r="F287" s="9"/>
      <c r="G287" s="5">
        <v>0.88080000000000003</v>
      </c>
      <c r="H287" s="5">
        <v>2242.4499999999998</v>
      </c>
      <c r="I287" s="5">
        <v>2.7061500000000001</v>
      </c>
      <c r="J287" s="5">
        <v>0.52653000000000005</v>
      </c>
      <c r="K287" s="5">
        <v>0.81622300000000003</v>
      </c>
    </row>
    <row r="288" spans="1:11" x14ac:dyDescent="0.35">
      <c r="A288" s="2">
        <v>24</v>
      </c>
      <c r="B288" s="2">
        <v>3</v>
      </c>
      <c r="C288" s="4">
        <v>-1706.4710495481399</v>
      </c>
      <c r="D288" s="4">
        <v>-2028.828219153115</v>
      </c>
      <c r="E288" s="4">
        <v>-1031.346012903369</v>
      </c>
    </row>
    <row r="289" spans="1:11" x14ac:dyDescent="0.35">
      <c r="A289" s="2">
        <v>24</v>
      </c>
      <c r="B289" s="2">
        <v>4</v>
      </c>
      <c r="C289" s="4">
        <v>-5067.6486585948278</v>
      </c>
      <c r="D289" s="4">
        <v>-1599.7902627055589</v>
      </c>
      <c r="E289" s="4">
        <v>-372.53259834684962</v>
      </c>
    </row>
    <row r="290" spans="1:11" x14ac:dyDescent="0.35">
      <c r="A290" s="2">
        <v>24</v>
      </c>
      <c r="B290" s="2">
        <v>5</v>
      </c>
      <c r="C290" s="4">
        <v>-4511.5206260499626</v>
      </c>
      <c r="D290" s="4">
        <v>1050.033745225247</v>
      </c>
      <c r="E290" s="4">
        <v>160.02007622530991</v>
      </c>
    </row>
    <row r="291" spans="1:11" x14ac:dyDescent="0.35">
      <c r="A291" s="2">
        <v>24</v>
      </c>
      <c r="B291" s="2">
        <v>6</v>
      </c>
      <c r="C291" s="4">
        <v>-5879.9995995696909</v>
      </c>
      <c r="D291" s="4">
        <v>806.34138720356816</v>
      </c>
      <c r="E291" s="4">
        <v>722.99786914661138</v>
      </c>
    </row>
    <row r="292" spans="1:11" x14ac:dyDescent="0.35">
      <c r="A292" s="2">
        <v>24</v>
      </c>
      <c r="B292" s="2">
        <v>7</v>
      </c>
      <c r="C292" s="4">
        <v>-667.06292304854219</v>
      </c>
      <c r="D292" s="4">
        <v>2289.6385161506869</v>
      </c>
      <c r="E292" s="4">
        <v>515.02615106008125</v>
      </c>
      <c r="F292" s="3" t="s">
        <v>2</v>
      </c>
      <c r="G292" s="11" t="s">
        <v>5</v>
      </c>
      <c r="H292" s="11" t="s">
        <v>6</v>
      </c>
      <c r="I292" s="11" t="s">
        <v>7</v>
      </c>
      <c r="J292" s="11" t="s">
        <v>8</v>
      </c>
      <c r="K292" s="11" t="s">
        <v>9</v>
      </c>
    </row>
    <row r="293" spans="1:11" x14ac:dyDescent="0.35">
      <c r="A293" s="2">
        <v>24</v>
      </c>
      <c r="B293" s="2">
        <v>8</v>
      </c>
      <c r="C293" s="4">
        <v>1390.6303991216121</v>
      </c>
      <c r="D293" s="4">
        <v>965.6674484854135</v>
      </c>
      <c r="E293" s="4">
        <v>20.04274540563901</v>
      </c>
      <c r="F293" s="12"/>
      <c r="G293" s="11">
        <v>0.89139999999999997</v>
      </c>
      <c r="H293" s="11">
        <v>8918.4500000000007</v>
      </c>
      <c r="I293" s="11">
        <v>2.2307700000000001</v>
      </c>
      <c r="J293" s="11">
        <v>1.0716399999999999</v>
      </c>
      <c r="K293" s="11">
        <v>1.0716399999999999</v>
      </c>
    </row>
    <row r="294" spans="1:11" x14ac:dyDescent="0.35">
      <c r="A294" s="2">
        <v>24</v>
      </c>
      <c r="B294" s="2">
        <v>9</v>
      </c>
      <c r="C294" s="4">
        <v>2263.1049678960972</v>
      </c>
      <c r="D294" s="4">
        <v>-1289.4100892274009</v>
      </c>
      <c r="E294" s="4">
        <v>-291.88099703292511</v>
      </c>
      <c r="F294" s="12" t="s">
        <v>3</v>
      </c>
      <c r="H294" s="11"/>
      <c r="I294" s="11"/>
      <c r="J294" s="11"/>
      <c r="K294" s="11"/>
    </row>
    <row r="295" spans="1:11" x14ac:dyDescent="0.35">
      <c r="A295" s="2">
        <v>24</v>
      </c>
      <c r="B295" s="2">
        <v>10</v>
      </c>
      <c r="C295" s="4">
        <v>6312.1462912793804</v>
      </c>
      <c r="D295" s="4">
        <v>1193.389332831033</v>
      </c>
      <c r="E295" s="4">
        <v>-1046.6195120552529</v>
      </c>
      <c r="F295" s="12"/>
      <c r="G295" s="11">
        <v>0.95899999999999996</v>
      </c>
      <c r="H295" s="11">
        <v>874.15899999999999</v>
      </c>
      <c r="I295" s="11">
        <v>2.99993</v>
      </c>
      <c r="J295" s="11">
        <v>-0.57602100000000001</v>
      </c>
      <c r="K295" s="11">
        <v>2.4761299999999999</v>
      </c>
    </row>
    <row r="296" spans="1:11" x14ac:dyDescent="0.35">
      <c r="F296" s="12" t="s">
        <v>4</v>
      </c>
      <c r="G296" s="9"/>
      <c r="H296" s="9"/>
      <c r="I296" s="9"/>
      <c r="J296" s="9"/>
      <c r="K296" s="9"/>
    </row>
    <row r="297" spans="1:11" x14ac:dyDescent="0.35">
      <c r="F297" s="9"/>
      <c r="G297" s="5">
        <v>0.76090000000000002</v>
      </c>
      <c r="H297" s="5" t="s">
        <v>16</v>
      </c>
      <c r="I297" s="5" t="s">
        <v>17</v>
      </c>
      <c r="J297" s="5" t="s">
        <v>17</v>
      </c>
      <c r="K297" s="5">
        <v>2.7934399999999999</v>
      </c>
    </row>
    <row r="298" spans="1:11" x14ac:dyDescent="0.35">
      <c r="A298" s="2">
        <v>25</v>
      </c>
      <c r="B298" s="2">
        <v>1</v>
      </c>
      <c r="C298" s="4">
        <v>2281.7968662618259</v>
      </c>
      <c r="D298" s="4">
        <v>-2470.1292132681938</v>
      </c>
      <c r="E298" s="4">
        <v>-1761.6701067345659</v>
      </c>
    </row>
    <row r="299" spans="1:11" x14ac:dyDescent="0.35">
      <c r="A299" s="2">
        <v>25</v>
      </c>
      <c r="B299" s="2">
        <v>2</v>
      </c>
      <c r="C299" s="4">
        <v>-7330.4054743160714</v>
      </c>
      <c r="D299" s="4">
        <v>-1508.111979747561</v>
      </c>
      <c r="E299" s="4">
        <v>-525.68584648798515</v>
      </c>
    </row>
    <row r="300" spans="1:11" x14ac:dyDescent="0.35">
      <c r="A300" s="2">
        <v>25</v>
      </c>
      <c r="B300" s="2">
        <v>3</v>
      </c>
      <c r="C300" s="4">
        <v>-707.1471839830798</v>
      </c>
      <c r="D300" s="4">
        <v>-423.64814160767622</v>
      </c>
      <c r="E300" s="4">
        <v>2343.900042721652</v>
      </c>
    </row>
    <row r="301" spans="1:11" x14ac:dyDescent="0.35">
      <c r="A301" s="2">
        <v>25</v>
      </c>
      <c r="B301" s="2">
        <v>4</v>
      </c>
      <c r="C301" s="4">
        <v>107.4687378964405</v>
      </c>
      <c r="D301" s="4">
        <v>774.85532005060622</v>
      </c>
      <c r="E301" s="4">
        <v>182.80949471393109</v>
      </c>
    </row>
    <row r="302" spans="1:11" x14ac:dyDescent="0.35">
      <c r="A302" s="2">
        <v>25</v>
      </c>
      <c r="B302" s="2">
        <v>5</v>
      </c>
      <c r="C302" s="4">
        <v>-2037.8086562977981</v>
      </c>
      <c r="D302" s="4">
        <v>1652.105257071883</v>
      </c>
      <c r="E302" s="4">
        <v>-1436.7552687257651</v>
      </c>
      <c r="F302" s="3" t="s">
        <v>2</v>
      </c>
      <c r="G302" s="11" t="s">
        <v>5</v>
      </c>
      <c r="H302" s="11" t="s">
        <v>6</v>
      </c>
      <c r="I302" s="11" t="s">
        <v>7</v>
      </c>
      <c r="J302" s="11" t="s">
        <v>8</v>
      </c>
      <c r="K302" s="11" t="s">
        <v>9</v>
      </c>
    </row>
    <row r="303" spans="1:11" x14ac:dyDescent="0.35">
      <c r="A303" s="2">
        <v>25</v>
      </c>
      <c r="B303" s="2">
        <v>6</v>
      </c>
      <c r="C303" s="4">
        <v>-5381.0598828920574</v>
      </c>
      <c r="D303" s="4">
        <v>2849.0005602433098</v>
      </c>
      <c r="E303" s="4">
        <v>-157.4651229972454</v>
      </c>
      <c r="F303" s="12"/>
      <c r="G303" s="11">
        <v>0.68300000000000005</v>
      </c>
      <c r="H303" s="11">
        <v>3107.9</v>
      </c>
      <c r="I303" s="11">
        <v>0.36056899999999997</v>
      </c>
      <c r="J303" s="11">
        <v>2.9788700000000001</v>
      </c>
      <c r="K303" s="11">
        <v>1.655</v>
      </c>
    </row>
    <row r="304" spans="1:11" x14ac:dyDescent="0.35">
      <c r="A304" s="2">
        <v>25</v>
      </c>
      <c r="B304" s="2">
        <v>7</v>
      </c>
      <c r="C304" s="4">
        <v>7070.8560478120626</v>
      </c>
      <c r="D304" s="4">
        <v>1249.02754805475</v>
      </c>
      <c r="E304" s="4">
        <v>-458.04787326791057</v>
      </c>
      <c r="F304" s="12" t="s">
        <v>3</v>
      </c>
      <c r="H304" s="11"/>
      <c r="I304" s="11"/>
      <c r="J304" s="11"/>
      <c r="K304" s="11"/>
    </row>
    <row r="305" spans="1:11" x14ac:dyDescent="0.35">
      <c r="A305" s="2">
        <v>25</v>
      </c>
      <c r="B305" s="2">
        <v>8</v>
      </c>
      <c r="C305" s="4">
        <v>7493.9658518533606</v>
      </c>
      <c r="D305" s="4">
        <v>179.96853871335719</v>
      </c>
      <c r="E305" s="4">
        <v>197.0769347238373</v>
      </c>
      <c r="F305" s="12"/>
      <c r="G305" s="11">
        <v>0.97330000000000005</v>
      </c>
      <c r="H305" s="11">
        <v>1760.5</v>
      </c>
      <c r="I305" s="11">
        <v>1.2358100000000001</v>
      </c>
      <c r="J305" s="11">
        <v>-2.34016</v>
      </c>
      <c r="K305" s="11">
        <v>1.8970400000000001</v>
      </c>
    </row>
    <row r="306" spans="1:11" x14ac:dyDescent="0.35">
      <c r="A306" s="2">
        <v>25</v>
      </c>
      <c r="B306" s="2">
        <v>9</v>
      </c>
      <c r="C306" s="4">
        <v>-17.359511185390311</v>
      </c>
      <c r="D306" s="4">
        <v>-474.31349197380899</v>
      </c>
      <c r="E306" s="4">
        <v>1492.053559538831</v>
      </c>
      <c r="F306" s="12" t="s">
        <v>4</v>
      </c>
      <c r="G306" s="9"/>
      <c r="H306" s="9"/>
      <c r="I306" s="9"/>
      <c r="J306" s="9"/>
      <c r="K306" s="9"/>
    </row>
    <row r="307" spans="1:11" x14ac:dyDescent="0.35">
      <c r="A307" s="2">
        <v>25</v>
      </c>
      <c r="B307" s="2">
        <v>10</v>
      </c>
      <c r="C307" s="4">
        <v>-1480.3067951504861</v>
      </c>
      <c r="D307" s="4">
        <v>-1828.7543975366141</v>
      </c>
      <c r="E307" s="4">
        <v>123.7841865150164</v>
      </c>
      <c r="F307" s="9"/>
      <c r="G307" s="5">
        <v>0.68869999999999998</v>
      </c>
      <c r="H307" s="5">
        <v>1635.25</v>
      </c>
      <c r="I307" s="5">
        <v>0.69109399999999999</v>
      </c>
      <c r="J307" s="5">
        <v>2.9624600000000001</v>
      </c>
      <c r="K307" s="5">
        <v>0.97605200000000003</v>
      </c>
    </row>
    <row r="310" spans="1:11" x14ac:dyDescent="0.35">
      <c r="A310" s="2">
        <v>26</v>
      </c>
      <c r="B310" s="2">
        <v>1</v>
      </c>
      <c r="C310" s="4">
        <v>-5161.8344069904433</v>
      </c>
      <c r="D310" s="4">
        <v>2653.8763518662881</v>
      </c>
      <c r="E310" s="8">
        <v>2132.6749135779592</v>
      </c>
    </row>
    <row r="311" spans="1:11" x14ac:dyDescent="0.35">
      <c r="A311" s="2">
        <v>26</v>
      </c>
      <c r="B311" s="2">
        <v>2</v>
      </c>
      <c r="C311" s="4">
        <v>4981.0016137739867</v>
      </c>
      <c r="D311" s="4">
        <v>1529.0410300412891</v>
      </c>
      <c r="E311" s="8">
        <v>-454.64817187637709</v>
      </c>
    </row>
    <row r="312" spans="1:11" x14ac:dyDescent="0.35">
      <c r="A312" s="2">
        <v>26</v>
      </c>
      <c r="B312" s="2">
        <v>3</v>
      </c>
      <c r="C312" s="4">
        <v>-4525.5040777999411</v>
      </c>
      <c r="D312" s="4">
        <v>777.07854460045678</v>
      </c>
      <c r="E312" s="8">
        <v>-1720.4261727838041</v>
      </c>
      <c r="F312" s="3" t="s">
        <v>2</v>
      </c>
      <c r="G312" s="11" t="s">
        <v>5</v>
      </c>
      <c r="H312" s="11" t="s">
        <v>6</v>
      </c>
      <c r="I312" s="11" t="s">
        <v>7</v>
      </c>
      <c r="J312" s="11" t="s">
        <v>8</v>
      </c>
      <c r="K312" s="11" t="s">
        <v>9</v>
      </c>
    </row>
    <row r="313" spans="1:11" x14ac:dyDescent="0.35">
      <c r="A313" s="2">
        <v>26</v>
      </c>
      <c r="B313" s="2">
        <v>4</v>
      </c>
      <c r="C313" s="4">
        <v>-7158.9064040490284</v>
      </c>
      <c r="D313" s="4">
        <v>-373.22594059127601</v>
      </c>
      <c r="E313" s="8">
        <v>-798.10835824920036</v>
      </c>
      <c r="F313" s="12"/>
      <c r="G313" s="11">
        <v>0.83279999999999998</v>
      </c>
      <c r="H313" s="11" t="s">
        <v>18</v>
      </c>
      <c r="I313" s="11">
        <v>3.1415899999999999</v>
      </c>
      <c r="J313" s="11">
        <v>1</v>
      </c>
      <c r="K313" s="11">
        <v>2.1686700000000001</v>
      </c>
    </row>
    <row r="314" spans="1:11" x14ac:dyDescent="0.35">
      <c r="A314" s="2">
        <v>26</v>
      </c>
      <c r="B314" s="2">
        <v>5</v>
      </c>
      <c r="C314" s="4">
        <v>-2136.133820886449</v>
      </c>
      <c r="D314" s="4">
        <v>-1340.703973109217</v>
      </c>
      <c r="E314" s="8">
        <v>655.78090211139954</v>
      </c>
      <c r="F314" s="12" t="s">
        <v>3</v>
      </c>
      <c r="H314" s="11"/>
      <c r="I314" s="11"/>
      <c r="J314" s="11"/>
      <c r="K314" s="11"/>
    </row>
    <row r="315" spans="1:11" x14ac:dyDescent="0.35">
      <c r="A315" s="2">
        <v>26</v>
      </c>
      <c r="B315" s="2">
        <v>6</v>
      </c>
      <c r="C315" s="4">
        <v>-246.91804892884471</v>
      </c>
      <c r="D315" s="4">
        <v>-2007.6374011925409</v>
      </c>
      <c r="E315" s="8">
        <v>809.70670668543994</v>
      </c>
      <c r="F315" s="12"/>
      <c r="G315" s="11">
        <v>0.70730000000000004</v>
      </c>
      <c r="H315" s="11">
        <v>7719.54</v>
      </c>
      <c r="I315" s="11">
        <v>1.6668400000000001</v>
      </c>
      <c r="J315" s="11">
        <v>1.0641700000000001</v>
      </c>
      <c r="K315" s="11">
        <v>0.77132599999999996</v>
      </c>
    </row>
    <row r="316" spans="1:11" x14ac:dyDescent="0.35">
      <c r="A316" s="2">
        <v>26</v>
      </c>
      <c r="B316" s="2">
        <v>7</v>
      </c>
      <c r="C316" s="4">
        <v>1242.7509112818741</v>
      </c>
      <c r="D316" s="4">
        <v>-1927.187123962377</v>
      </c>
      <c r="E316" s="8">
        <v>779.98489248514431</v>
      </c>
      <c r="F316" s="12" t="s">
        <v>4</v>
      </c>
      <c r="G316" s="9"/>
      <c r="H316" s="9"/>
      <c r="I316" s="9"/>
      <c r="J316" s="9"/>
      <c r="K316" s="9"/>
    </row>
    <row r="317" spans="1:11" x14ac:dyDescent="0.35">
      <c r="A317" s="2">
        <v>26</v>
      </c>
      <c r="B317" s="2">
        <v>8</v>
      </c>
      <c r="C317" s="4">
        <v>4213.666048853559</v>
      </c>
      <c r="D317" s="4">
        <v>-1200.077203029774</v>
      </c>
      <c r="E317" s="8">
        <v>-473.55880071189569</v>
      </c>
      <c r="F317" s="9"/>
      <c r="G317" s="5">
        <v>0.92649999999999999</v>
      </c>
      <c r="H317" s="5">
        <v>10567</v>
      </c>
      <c r="I317" s="5">
        <v>1.8902000000000001</v>
      </c>
      <c r="J317" s="5">
        <v>1.5024500000000001</v>
      </c>
      <c r="K317" s="5">
        <v>0.42918499999999998</v>
      </c>
    </row>
    <row r="318" spans="1:11" x14ac:dyDescent="0.35">
      <c r="A318" s="2">
        <v>26</v>
      </c>
      <c r="B318" s="2">
        <v>9</v>
      </c>
      <c r="C318" s="4">
        <v>-337.836620755414</v>
      </c>
      <c r="D318" s="4">
        <v>657.50277263430132</v>
      </c>
      <c r="E318" s="8">
        <v>-1151.730563066174</v>
      </c>
    </row>
    <row r="319" spans="1:11" x14ac:dyDescent="0.35">
      <c r="A319" s="2">
        <v>26</v>
      </c>
      <c r="B319" s="2">
        <v>10</v>
      </c>
      <c r="C319" s="4">
        <v>9129.7148055004691</v>
      </c>
      <c r="D319" s="4">
        <v>1231.332942742617</v>
      </c>
      <c r="E319" s="8">
        <v>220.3246518271489</v>
      </c>
    </row>
    <row r="322" spans="1:11" x14ac:dyDescent="0.35">
      <c r="F322" s="3" t="s">
        <v>2</v>
      </c>
      <c r="G322" s="11" t="s">
        <v>5</v>
      </c>
      <c r="H322" s="11" t="s">
        <v>6</v>
      </c>
      <c r="I322" s="11" t="s">
        <v>7</v>
      </c>
      <c r="J322" s="11" t="s">
        <v>8</v>
      </c>
      <c r="K322" s="11" t="s">
        <v>9</v>
      </c>
    </row>
    <row r="323" spans="1:11" x14ac:dyDescent="0.35">
      <c r="A323" s="2">
        <v>27</v>
      </c>
      <c r="B323" s="2">
        <v>1</v>
      </c>
      <c r="C323" s="4">
        <v>-4637.8991918498459</v>
      </c>
      <c r="D323" s="4">
        <v>1791.2532785830981</v>
      </c>
      <c r="E323" s="4">
        <v>2205.2223603390039</v>
      </c>
      <c r="F323" s="12"/>
      <c r="G323" s="11">
        <v>0.80020000000000002</v>
      </c>
      <c r="H323" s="11">
        <v>2788.73</v>
      </c>
      <c r="I323" s="11">
        <v>1.6904999999999999</v>
      </c>
      <c r="J323" s="11">
        <v>-1.43611</v>
      </c>
      <c r="K323" s="11">
        <v>2.4329499999999999</v>
      </c>
    </row>
    <row r="324" spans="1:11" x14ac:dyDescent="0.35">
      <c r="A324" s="2">
        <v>27</v>
      </c>
      <c r="B324" s="2">
        <v>2</v>
      </c>
      <c r="C324" s="4">
        <v>-6593.4398766667791</v>
      </c>
      <c r="D324" s="4">
        <v>1445.0942364602961</v>
      </c>
      <c r="E324" s="4">
        <v>-1502.183314024674</v>
      </c>
      <c r="F324" s="12" t="s">
        <v>3</v>
      </c>
      <c r="H324" s="11"/>
      <c r="I324" s="11"/>
      <c r="J324" s="11"/>
      <c r="K324" s="11"/>
    </row>
    <row r="325" spans="1:11" x14ac:dyDescent="0.35">
      <c r="A325" s="2">
        <v>27</v>
      </c>
      <c r="B325" s="2">
        <v>3</v>
      </c>
      <c r="C325" s="4">
        <v>579.99592839180002</v>
      </c>
      <c r="D325" s="4">
        <v>832.48866202880095</v>
      </c>
      <c r="E325" s="4">
        <v>-440.12609657391778</v>
      </c>
      <c r="F325" s="12"/>
      <c r="G325" s="11">
        <v>0.85750000000000004</v>
      </c>
      <c r="H325" s="11" t="s">
        <v>19</v>
      </c>
      <c r="I325" s="11">
        <v>2.54488</v>
      </c>
      <c r="J325" s="11">
        <v>-0.75243700000000002</v>
      </c>
      <c r="K325" s="11">
        <v>3.1415899999999999</v>
      </c>
    </row>
    <row r="326" spans="1:11" x14ac:dyDescent="0.35">
      <c r="A326" s="2">
        <v>27</v>
      </c>
      <c r="B326" s="2">
        <v>4</v>
      </c>
      <c r="C326" s="4">
        <v>4843.4528811619621</v>
      </c>
      <c r="D326" s="4">
        <v>-562.39607798937811</v>
      </c>
      <c r="E326" s="4">
        <v>691.56317271156195</v>
      </c>
      <c r="F326" s="12" t="s">
        <v>4</v>
      </c>
      <c r="G326" s="9"/>
      <c r="H326" s="9"/>
      <c r="I326" s="9"/>
      <c r="J326" s="9"/>
      <c r="K326" s="9"/>
    </row>
    <row r="327" spans="1:11" x14ac:dyDescent="0.35">
      <c r="A327" s="2">
        <v>27</v>
      </c>
      <c r="B327" s="2">
        <v>5</v>
      </c>
      <c r="C327" s="4">
        <v>-4266.2154536278094</v>
      </c>
      <c r="D327" s="4">
        <v>-1310.9393202767069</v>
      </c>
      <c r="E327" s="4">
        <v>-369.29316061924982</v>
      </c>
      <c r="F327" s="9"/>
      <c r="G327" s="5">
        <v>0.7208</v>
      </c>
      <c r="H327" s="5">
        <v>651.68899999999996</v>
      </c>
      <c r="I327" s="5">
        <v>0.88811499999999999</v>
      </c>
      <c r="J327" s="5">
        <v>-2.3405900000000002</v>
      </c>
      <c r="K327" s="5">
        <v>2.6901299999999999</v>
      </c>
    </row>
    <row r="328" spans="1:11" x14ac:dyDescent="0.35">
      <c r="A328" s="2">
        <v>27</v>
      </c>
      <c r="B328" s="2">
        <v>6</v>
      </c>
      <c r="C328" s="4">
        <v>16.74285647327547</v>
      </c>
      <c r="D328" s="4">
        <v>-1730.943779991346</v>
      </c>
      <c r="E328" s="4">
        <v>381.08703849254761</v>
      </c>
    </row>
    <row r="329" spans="1:11" x14ac:dyDescent="0.35">
      <c r="A329" s="2">
        <v>27</v>
      </c>
      <c r="B329" s="2">
        <v>7</v>
      </c>
      <c r="C329" s="4">
        <v>-2339.776388149382</v>
      </c>
      <c r="D329" s="4">
        <v>-1657.015785807286</v>
      </c>
      <c r="E329" s="4">
        <v>-137.15588567119809</v>
      </c>
    </row>
    <row r="330" spans="1:11" x14ac:dyDescent="0.35">
      <c r="A330" s="2">
        <v>27</v>
      </c>
      <c r="B330" s="2">
        <v>8</v>
      </c>
      <c r="C330" s="4">
        <v>1762.9990228195541</v>
      </c>
      <c r="D330" s="4">
        <v>-814.84182445237434</v>
      </c>
      <c r="E330" s="4">
        <v>166.7962788783737</v>
      </c>
    </row>
    <row r="331" spans="1:11" x14ac:dyDescent="0.35">
      <c r="A331" s="2">
        <v>27</v>
      </c>
      <c r="B331" s="2">
        <v>9</v>
      </c>
      <c r="C331" s="4">
        <v>3358.863644146541</v>
      </c>
      <c r="D331" s="4">
        <v>646.26072679938659</v>
      </c>
      <c r="E331" s="4">
        <v>-581.512849883782</v>
      </c>
    </row>
    <row r="332" spans="1:11" x14ac:dyDescent="0.35">
      <c r="A332" s="2">
        <v>27</v>
      </c>
      <c r="B332" s="2">
        <v>10</v>
      </c>
      <c r="C332" s="4">
        <v>7275.2765772996163</v>
      </c>
      <c r="D332" s="4">
        <v>1361.0398846455651</v>
      </c>
      <c r="E332" s="4">
        <v>-414.39754364857362</v>
      </c>
      <c r="F332" s="3" t="s">
        <v>2</v>
      </c>
      <c r="G332" s="11" t="s">
        <v>5</v>
      </c>
      <c r="H332" s="11" t="s">
        <v>6</v>
      </c>
      <c r="I332" s="11" t="s">
        <v>7</v>
      </c>
      <c r="J332" s="11" t="s">
        <v>8</v>
      </c>
      <c r="K332" s="11" t="s">
        <v>9</v>
      </c>
    </row>
    <row r="333" spans="1:11" x14ac:dyDescent="0.35">
      <c r="F333" s="12"/>
      <c r="G333" s="11">
        <v>0.66220000000000001</v>
      </c>
      <c r="H333" s="11">
        <v>1902.95</v>
      </c>
      <c r="I333" s="11">
        <v>1.52766</v>
      </c>
      <c r="J333" s="11">
        <v>-1.0624899999999999</v>
      </c>
      <c r="K333" s="11">
        <v>2.6069</v>
      </c>
    </row>
    <row r="334" spans="1:11" x14ac:dyDescent="0.35">
      <c r="F334" s="12" t="s">
        <v>3</v>
      </c>
      <c r="H334" s="11"/>
      <c r="I334" s="11"/>
      <c r="J334" s="11"/>
      <c r="K334" s="11"/>
    </row>
    <row r="335" spans="1:11" x14ac:dyDescent="0.35">
      <c r="A335" s="2">
        <v>28</v>
      </c>
      <c r="B335" s="2">
        <v>1</v>
      </c>
      <c r="C335" s="4">
        <v>531.67791882659947</v>
      </c>
      <c r="D335" s="4">
        <v>2004.213691306443</v>
      </c>
      <c r="E335" s="4">
        <v>2173.659797142624</v>
      </c>
      <c r="F335" s="12"/>
      <c r="G335" s="11">
        <v>0.92830000000000001</v>
      </c>
      <c r="H335" s="11">
        <v>3.0055000000000001</v>
      </c>
      <c r="I335" s="11">
        <v>-0.58824900000000002</v>
      </c>
      <c r="J335" s="11">
        <v>-0.58824900000000002</v>
      </c>
      <c r="K335" s="11">
        <v>2.4655800000000001</v>
      </c>
    </row>
    <row r="336" spans="1:11" x14ac:dyDescent="0.35">
      <c r="A336" s="2">
        <v>28</v>
      </c>
      <c r="B336" s="2">
        <v>2</v>
      </c>
      <c r="C336" s="4">
        <v>-1726.4425876070211</v>
      </c>
      <c r="D336" s="4">
        <v>1595.257728081735</v>
      </c>
      <c r="E336" s="4">
        <v>-358.74465017863281</v>
      </c>
      <c r="F336" s="12" t="s">
        <v>4</v>
      </c>
      <c r="G336" s="9"/>
      <c r="H336" s="9"/>
      <c r="I336" s="9"/>
      <c r="J336" s="9"/>
      <c r="K336" s="9"/>
    </row>
    <row r="337" spans="1:11" x14ac:dyDescent="0.35">
      <c r="A337" s="2">
        <v>28</v>
      </c>
      <c r="B337" s="2">
        <v>3</v>
      </c>
      <c r="C337" s="4">
        <v>3302.51785304855</v>
      </c>
      <c r="D337" s="4">
        <v>711.00173355697996</v>
      </c>
      <c r="E337" s="4">
        <v>-1044.495173748491</v>
      </c>
      <c r="F337" s="9"/>
      <c r="G337" s="5">
        <v>0.78410000000000002</v>
      </c>
      <c r="H337" s="5">
        <v>692.65</v>
      </c>
      <c r="I337" s="5">
        <v>1.24319</v>
      </c>
      <c r="J337" s="5">
        <v>0.88761199999999996</v>
      </c>
      <c r="K337" s="5">
        <v>2.5221499999999999</v>
      </c>
    </row>
    <row r="338" spans="1:11" x14ac:dyDescent="0.35">
      <c r="A338" s="2">
        <v>28</v>
      </c>
      <c r="B338" s="2">
        <v>4</v>
      </c>
      <c r="C338" s="4">
        <v>-4656.2852371878953</v>
      </c>
      <c r="D338" s="4">
        <v>-375.02964326378498</v>
      </c>
      <c r="E338" s="4">
        <v>-1545.6397213134831</v>
      </c>
    </row>
    <row r="339" spans="1:11" x14ac:dyDescent="0.35">
      <c r="A339" s="2">
        <v>28</v>
      </c>
      <c r="B339" s="2">
        <v>5</v>
      </c>
      <c r="C339" s="4">
        <v>-3450.7312661122442</v>
      </c>
      <c r="D339" s="4">
        <v>-1323.0040202887999</v>
      </c>
      <c r="E339" s="4">
        <v>403.9680520705262</v>
      </c>
    </row>
    <row r="340" spans="1:11" x14ac:dyDescent="0.35">
      <c r="A340" s="2">
        <v>28</v>
      </c>
      <c r="B340" s="2">
        <v>6</v>
      </c>
      <c r="C340" s="4">
        <v>-3878.454317497597</v>
      </c>
      <c r="D340" s="4">
        <v>-1946.179080957015</v>
      </c>
      <c r="E340" s="4">
        <v>1162.5089182625709</v>
      </c>
    </row>
    <row r="341" spans="1:11" x14ac:dyDescent="0.35">
      <c r="A341" s="2">
        <v>28</v>
      </c>
      <c r="B341" s="2">
        <v>7</v>
      </c>
      <c r="C341" s="4">
        <v>7094.4334033941996</v>
      </c>
      <c r="D341" s="4">
        <v>-1590.3379280758311</v>
      </c>
      <c r="E341" s="4">
        <v>246.19274355686289</v>
      </c>
    </row>
    <row r="342" spans="1:11" x14ac:dyDescent="0.35">
      <c r="A342" s="2">
        <v>28</v>
      </c>
      <c r="B342" s="2">
        <v>8</v>
      </c>
      <c r="C342" s="4">
        <v>4520.9681971324799</v>
      </c>
      <c r="D342" s="4">
        <v>-616.89793022685285</v>
      </c>
      <c r="E342" s="4">
        <v>-380.32078360579197</v>
      </c>
      <c r="F342" s="3" t="s">
        <v>2</v>
      </c>
      <c r="G342" s="11" t="s">
        <v>5</v>
      </c>
      <c r="H342" s="11" t="s">
        <v>6</v>
      </c>
      <c r="I342" s="11" t="s">
        <v>7</v>
      </c>
      <c r="J342" s="11" t="s">
        <v>8</v>
      </c>
      <c r="K342" s="11" t="s">
        <v>9</v>
      </c>
    </row>
    <row r="343" spans="1:11" x14ac:dyDescent="0.35">
      <c r="A343" s="2">
        <v>28</v>
      </c>
      <c r="B343" s="2">
        <v>9</v>
      </c>
      <c r="C343" s="4">
        <v>-1645.178378876343</v>
      </c>
      <c r="D343" s="4">
        <v>196.59191173510999</v>
      </c>
      <c r="E343" s="4">
        <v>-188.2177168925262</v>
      </c>
      <c r="F343" s="12"/>
      <c r="G343" s="11">
        <v>0.8034</v>
      </c>
      <c r="H343" s="11">
        <v>28806.6</v>
      </c>
      <c r="I343" s="11">
        <v>0.81606599999999996</v>
      </c>
      <c r="J343" s="11">
        <v>-2.6973199999999999</v>
      </c>
      <c r="K343" s="11">
        <v>0.33243899999999998</v>
      </c>
    </row>
    <row r="344" spans="1:11" x14ac:dyDescent="0.35">
      <c r="A344" s="2">
        <v>28</v>
      </c>
      <c r="B344" s="2">
        <v>10</v>
      </c>
      <c r="C344" s="4">
        <v>-92.505585121454288</v>
      </c>
      <c r="D344" s="4">
        <v>1344.3835381319291</v>
      </c>
      <c r="E344" s="4">
        <v>-468.91146529382769</v>
      </c>
      <c r="F344" s="12" t="s">
        <v>3</v>
      </c>
      <c r="H344" s="11"/>
      <c r="I344" s="11"/>
      <c r="J344" s="11"/>
      <c r="K344" s="11"/>
    </row>
    <row r="345" spans="1:11" x14ac:dyDescent="0.35">
      <c r="F345" s="12"/>
      <c r="G345" s="11">
        <v>0.88439999999999996</v>
      </c>
      <c r="H345" s="11">
        <v>1809.73</v>
      </c>
      <c r="I345" s="11">
        <v>0.74395599999999995</v>
      </c>
      <c r="J345" s="11">
        <v>2.3136399999999999</v>
      </c>
      <c r="K345" s="11">
        <v>1.2892999999999999</v>
      </c>
    </row>
    <row r="346" spans="1:11" x14ac:dyDescent="0.35">
      <c r="F346" s="12" t="s">
        <v>4</v>
      </c>
      <c r="G346" s="9"/>
      <c r="H346" s="9"/>
      <c r="I346" s="9"/>
      <c r="J346" s="9"/>
      <c r="K346" s="9"/>
    </row>
    <row r="347" spans="1:11" x14ac:dyDescent="0.35">
      <c r="F347" s="9"/>
      <c r="G347" s="5">
        <v>0.77</v>
      </c>
      <c r="H347" s="5">
        <v>835.822</v>
      </c>
      <c r="I347" s="5">
        <v>1.5869800000000001</v>
      </c>
      <c r="J347" s="5">
        <v>0.87141800000000003</v>
      </c>
      <c r="K347" s="5">
        <v>2.14025</v>
      </c>
    </row>
    <row r="348" spans="1:11" x14ac:dyDescent="0.35">
      <c r="A348" s="2">
        <v>29</v>
      </c>
      <c r="B348" s="2">
        <v>1</v>
      </c>
      <c r="C348" s="4">
        <v>-4809.6996360147377</v>
      </c>
      <c r="D348" s="4">
        <v>-1043.983643776362</v>
      </c>
      <c r="E348" s="4">
        <v>1866.270847100996</v>
      </c>
    </row>
    <row r="349" spans="1:11" x14ac:dyDescent="0.35">
      <c r="A349" s="2">
        <v>29</v>
      </c>
      <c r="B349" s="2">
        <v>2</v>
      </c>
      <c r="C349" s="4">
        <v>-1663.444192613636</v>
      </c>
      <c r="D349" s="4">
        <v>-1734.8402806852459</v>
      </c>
      <c r="E349" s="4">
        <v>-864.49595251415974</v>
      </c>
    </row>
    <row r="350" spans="1:11" x14ac:dyDescent="0.35">
      <c r="A350" s="2">
        <v>29</v>
      </c>
      <c r="B350" s="2">
        <v>3</v>
      </c>
      <c r="C350" s="4">
        <v>-2855.372535216296</v>
      </c>
      <c r="D350" s="4">
        <v>-438.9037402388048</v>
      </c>
      <c r="E350" s="4">
        <v>-496.09399768848328</v>
      </c>
    </row>
    <row r="351" spans="1:11" x14ac:dyDescent="0.35">
      <c r="A351" s="2">
        <v>29</v>
      </c>
      <c r="B351" s="2">
        <v>4</v>
      </c>
      <c r="C351" s="4">
        <v>1665.1160729166329</v>
      </c>
      <c r="D351" s="4">
        <v>287.75749087929699</v>
      </c>
      <c r="E351" s="4">
        <v>-629.33493061298657</v>
      </c>
    </row>
    <row r="352" spans="1:11" x14ac:dyDescent="0.35">
      <c r="A352" s="2">
        <v>29</v>
      </c>
      <c r="B352" s="2">
        <v>5</v>
      </c>
      <c r="C352" s="4">
        <v>1904.6826834871019</v>
      </c>
      <c r="D352" s="4">
        <v>1346.023130397813</v>
      </c>
      <c r="E352" s="4">
        <v>157.15362974836191</v>
      </c>
      <c r="F352" s="3" t="s">
        <v>2</v>
      </c>
      <c r="G352" s="11" t="s">
        <v>5</v>
      </c>
      <c r="H352" s="11" t="s">
        <v>6</v>
      </c>
      <c r="I352" s="11" t="s">
        <v>7</v>
      </c>
      <c r="J352" s="11" t="s">
        <v>8</v>
      </c>
      <c r="K352" s="11" t="s">
        <v>9</v>
      </c>
    </row>
    <row r="353" spans="1:31" x14ac:dyDescent="0.35">
      <c r="A353" s="2">
        <v>29</v>
      </c>
      <c r="B353" s="2">
        <v>6</v>
      </c>
      <c r="C353" s="4">
        <v>-703.28442323069476</v>
      </c>
      <c r="D353" s="4">
        <v>1212.3246048996359</v>
      </c>
      <c r="E353" s="4">
        <v>-1095.617501171412</v>
      </c>
      <c r="F353" s="12"/>
      <c r="G353" s="11">
        <v>0.68669999999999998</v>
      </c>
      <c r="H353" s="11">
        <v>3921.88</v>
      </c>
      <c r="I353" s="11">
        <v>1.3754999999999999</v>
      </c>
      <c r="J353" s="11">
        <v>-2.1443300000000001</v>
      </c>
      <c r="K353" s="11">
        <v>1.92923</v>
      </c>
    </row>
    <row r="354" spans="1:31" x14ac:dyDescent="0.35">
      <c r="A354" s="2">
        <v>29</v>
      </c>
      <c r="B354" s="2">
        <v>7</v>
      </c>
      <c r="C354" s="4">
        <v>-5410.3571244484501</v>
      </c>
      <c r="D354" s="4">
        <v>1978.7714034180251</v>
      </c>
      <c r="E354" s="4">
        <v>-393.82108476549712</v>
      </c>
      <c r="F354" s="12" t="s">
        <v>3</v>
      </c>
      <c r="H354" s="11"/>
      <c r="I354" s="11"/>
      <c r="J354" s="11"/>
      <c r="K354" s="11"/>
    </row>
    <row r="355" spans="1:31" x14ac:dyDescent="0.35">
      <c r="A355" s="2">
        <v>29</v>
      </c>
      <c r="B355" s="2">
        <v>8</v>
      </c>
      <c r="C355" s="4">
        <v>6065.0380238331236</v>
      </c>
      <c r="D355" s="4">
        <v>1054.607526416248</v>
      </c>
      <c r="E355" s="4">
        <v>1847.8031272957001</v>
      </c>
      <c r="F355" s="12"/>
      <c r="G355" s="11">
        <v>0.81069999999999998</v>
      </c>
      <c r="H355" s="11">
        <v>693.4</v>
      </c>
      <c r="I355" s="11">
        <v>1.9669000000000001</v>
      </c>
      <c r="J355" s="11">
        <v>-0.203539</v>
      </c>
      <c r="K355" s="11">
        <v>2.68079</v>
      </c>
    </row>
    <row r="356" spans="1:31" x14ac:dyDescent="0.35">
      <c r="A356" s="2">
        <v>29</v>
      </c>
      <c r="B356" s="2">
        <v>9</v>
      </c>
      <c r="C356" s="4">
        <v>6499.2900528719829</v>
      </c>
      <c r="D356" s="4">
        <v>-1235.2227302370129</v>
      </c>
      <c r="E356" s="4">
        <v>-1044.2095487859719</v>
      </c>
      <c r="F356" s="12" t="s">
        <v>4</v>
      </c>
      <c r="G356" s="9"/>
      <c r="H356" s="9"/>
      <c r="I356" s="9"/>
      <c r="J356" s="9"/>
      <c r="K356" s="9"/>
    </row>
    <row r="357" spans="1:31" x14ac:dyDescent="0.35">
      <c r="A357" s="2">
        <v>29</v>
      </c>
      <c r="B357" s="2">
        <v>10</v>
      </c>
      <c r="C357" s="4">
        <v>-691.96892158530659</v>
      </c>
      <c r="D357" s="4">
        <v>-1426.5337610736619</v>
      </c>
      <c r="E357" s="4">
        <v>652.34541139356486</v>
      </c>
      <c r="F357" s="9"/>
      <c r="G357" s="5">
        <v>0.8347</v>
      </c>
      <c r="H357" s="5" t="s">
        <v>20</v>
      </c>
      <c r="I357" s="5" t="s">
        <v>21</v>
      </c>
      <c r="J357" s="5">
        <f>-3.014*10^8</f>
        <v>-301400000</v>
      </c>
      <c r="K357" s="5">
        <v>2.7861400000000001</v>
      </c>
    </row>
    <row r="360" spans="1:31" x14ac:dyDescent="0.35">
      <c r="A360" s="2">
        <v>30</v>
      </c>
      <c r="B360" s="2">
        <v>1</v>
      </c>
      <c r="C360" s="4">
        <v>-2914.8007525398339</v>
      </c>
      <c r="D360" s="4">
        <v>1940.9699041700051</v>
      </c>
      <c r="E360" s="4">
        <v>-1939.6667097269551</v>
      </c>
    </row>
    <row r="361" spans="1:31" x14ac:dyDescent="0.35">
      <c r="A361" s="2">
        <v>30</v>
      </c>
      <c r="B361" s="2">
        <v>2</v>
      </c>
      <c r="C361" s="4">
        <v>6066.9979227455333</v>
      </c>
      <c r="D361" s="4">
        <v>2184.0507875631479</v>
      </c>
      <c r="E361" s="4">
        <v>1109.3918379469781</v>
      </c>
    </row>
    <row r="362" spans="1:31" x14ac:dyDescent="0.35">
      <c r="A362" s="2">
        <v>30</v>
      </c>
      <c r="B362" s="2">
        <v>3</v>
      </c>
      <c r="C362" s="4">
        <v>400.00525730651509</v>
      </c>
      <c r="D362" s="4">
        <v>817.9168994786844</v>
      </c>
      <c r="E362" s="4">
        <v>-1075.5261718317261</v>
      </c>
      <c r="F362" s="3" t="s">
        <v>2</v>
      </c>
      <c r="G362" s="11" t="s">
        <v>5</v>
      </c>
      <c r="H362" s="11" t="s">
        <v>6</v>
      </c>
      <c r="I362" s="11" t="s">
        <v>7</v>
      </c>
      <c r="J362" s="11" t="s">
        <v>8</v>
      </c>
      <c r="K362" s="11" t="s">
        <v>9</v>
      </c>
    </row>
    <row r="363" spans="1:31" x14ac:dyDescent="0.35">
      <c r="A363" s="2">
        <v>30</v>
      </c>
      <c r="B363" s="2">
        <v>4</v>
      </c>
      <c r="C363" s="4">
        <v>-2879.3556523889401</v>
      </c>
      <c r="D363" s="4">
        <v>-795.24301098547812</v>
      </c>
      <c r="E363" s="4">
        <v>306.49517614851732</v>
      </c>
      <c r="F363" s="12"/>
      <c r="G363" s="11">
        <v>0.72109999999999996</v>
      </c>
      <c r="H363" s="11">
        <v>3043.76</v>
      </c>
      <c r="I363" s="11">
        <v>2.6844999999999999</v>
      </c>
      <c r="J363" s="11">
        <v>1.01864</v>
      </c>
      <c r="K363" s="11">
        <v>1.9407300000000001</v>
      </c>
    </row>
    <row r="364" spans="1:31" x14ac:dyDescent="0.35">
      <c r="A364" s="2">
        <v>30</v>
      </c>
      <c r="B364" s="2">
        <v>5</v>
      </c>
      <c r="C364" s="4">
        <v>-3507.863056760415</v>
      </c>
      <c r="D364" s="4">
        <v>-1571.09792642302</v>
      </c>
      <c r="E364" s="4">
        <v>-527.14646707230281</v>
      </c>
      <c r="F364" s="12" t="s">
        <v>3</v>
      </c>
      <c r="H364" s="11"/>
      <c r="I364" s="11"/>
      <c r="J364" s="11"/>
      <c r="K364" s="11"/>
    </row>
    <row r="365" spans="1:31" x14ac:dyDescent="0.35">
      <c r="A365" s="2">
        <v>30</v>
      </c>
      <c r="B365" s="2">
        <v>6</v>
      </c>
      <c r="C365" s="4">
        <v>3815.134549582157</v>
      </c>
      <c r="D365" s="4">
        <v>-1473.907214149322</v>
      </c>
      <c r="E365" s="4">
        <v>256.10998982552348</v>
      </c>
      <c r="F365" s="12"/>
      <c r="G365" s="11">
        <v>0.75670000000000004</v>
      </c>
      <c r="H365" s="11">
        <v>2502.0100000000002</v>
      </c>
      <c r="I365" s="11">
        <v>1.6384300000000001</v>
      </c>
      <c r="J365" s="11">
        <v>-1.4196899999999999</v>
      </c>
      <c r="K365" s="11">
        <v>0.94484100000000004</v>
      </c>
    </row>
    <row r="366" spans="1:31" x14ac:dyDescent="0.35">
      <c r="A366" s="2">
        <v>30</v>
      </c>
      <c r="B366" s="2">
        <v>7</v>
      </c>
      <c r="C366" s="4">
        <v>4242.2836969177661</v>
      </c>
      <c r="D366" s="4">
        <v>-1108.836175916729</v>
      </c>
      <c r="E366" s="4">
        <v>-353.48549187048621</v>
      </c>
      <c r="F366" s="12" t="s">
        <v>4</v>
      </c>
      <c r="G366" s="9"/>
      <c r="H366" s="9"/>
      <c r="I366" s="9"/>
      <c r="J366" s="9"/>
      <c r="K366" s="9"/>
      <c r="S366" s="5"/>
      <c r="T366" s="5"/>
      <c r="U366" s="5"/>
      <c r="V366" s="5"/>
      <c r="W366" s="5"/>
      <c r="X366" s="5"/>
      <c r="Y366" s="5"/>
      <c r="Z366" s="5"/>
      <c r="AA366" s="11"/>
      <c r="AB366" s="11"/>
      <c r="AC366" s="11"/>
      <c r="AD366" s="11"/>
      <c r="AE366" s="11"/>
    </row>
    <row r="367" spans="1:31" x14ac:dyDescent="0.35">
      <c r="A367" s="2">
        <v>30</v>
      </c>
      <c r="B367" s="2">
        <v>8</v>
      </c>
      <c r="C367" s="4">
        <v>3791.7346396962171</v>
      </c>
      <c r="D367" s="4">
        <v>-615.21804354630888</v>
      </c>
      <c r="E367" s="4">
        <v>-227.20357518513089</v>
      </c>
      <c r="F367" s="9"/>
      <c r="G367" s="5">
        <v>0.79249999999999998</v>
      </c>
      <c r="H367" s="5">
        <v>2357.25</v>
      </c>
      <c r="I367" s="5">
        <v>1.4438</v>
      </c>
      <c r="J367" s="5">
        <v>0.36290699999999998</v>
      </c>
      <c r="K367" s="5">
        <v>0.72536100000000003</v>
      </c>
      <c r="S367" s="5"/>
      <c r="T367" s="5"/>
      <c r="U367" s="5"/>
      <c r="V367" s="5"/>
      <c r="W367" s="5"/>
      <c r="X367" s="5"/>
      <c r="Y367" s="5"/>
      <c r="Z367" s="5"/>
      <c r="AA367" s="11"/>
      <c r="AB367" s="11"/>
      <c r="AC367" s="11"/>
      <c r="AD367" s="11"/>
      <c r="AE367" s="11"/>
    </row>
    <row r="368" spans="1:31" x14ac:dyDescent="0.35">
      <c r="A368" s="2">
        <v>30</v>
      </c>
      <c r="B368" s="2">
        <v>9</v>
      </c>
      <c r="C368" s="4">
        <v>-4209.467976806568</v>
      </c>
      <c r="D368" s="4">
        <v>-127.51758454600341</v>
      </c>
      <c r="E368" s="4">
        <v>402.43273650382548</v>
      </c>
      <c r="S368" s="5"/>
      <c r="T368" s="5"/>
      <c r="U368" s="5"/>
      <c r="V368" s="5"/>
      <c r="W368" s="5"/>
      <c r="X368" s="5"/>
      <c r="Y368" s="5"/>
      <c r="Z368" s="5"/>
      <c r="AA368" s="11"/>
      <c r="AB368" s="11"/>
      <c r="AC368" s="11"/>
      <c r="AD368" s="11"/>
      <c r="AE368" s="11"/>
    </row>
    <row r="369" spans="1:31" x14ac:dyDescent="0.35">
      <c r="A369" s="2">
        <v>30</v>
      </c>
      <c r="B369" s="2">
        <v>10</v>
      </c>
      <c r="C369" s="4">
        <v>-4804.6686277529016</v>
      </c>
      <c r="D369" s="4">
        <v>748.88236435494866</v>
      </c>
      <c r="E369" s="4">
        <v>2048.5986752615731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9"/>
      <c r="AB369" s="9"/>
      <c r="AC369" s="9"/>
      <c r="AD369" s="9"/>
      <c r="AE369" s="9"/>
    </row>
    <row r="370" spans="1:31" x14ac:dyDescent="0.35"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9"/>
      <c r="AB370" s="11"/>
      <c r="AC370" s="11"/>
      <c r="AD370" s="11"/>
      <c r="AE370" s="11"/>
    </row>
    <row r="372" spans="1:31" x14ac:dyDescent="0.35">
      <c r="A372" s="2">
        <v>31</v>
      </c>
      <c r="B372" s="2">
        <v>1</v>
      </c>
      <c r="C372" s="4">
        <v>-3245.9994028150991</v>
      </c>
      <c r="D372" s="4">
        <v>1771.4114669164439</v>
      </c>
      <c r="E372" s="4">
        <v>-2123.5750194722032</v>
      </c>
      <c r="F372" s="3" t="s">
        <v>2</v>
      </c>
      <c r="G372" s="11" t="s">
        <v>5</v>
      </c>
      <c r="H372" s="11" t="s">
        <v>6</v>
      </c>
      <c r="I372" s="11" t="s">
        <v>7</v>
      </c>
      <c r="J372" s="11" t="s">
        <v>8</v>
      </c>
      <c r="K372" s="11" t="s">
        <v>9</v>
      </c>
    </row>
    <row r="373" spans="1:31" x14ac:dyDescent="0.35">
      <c r="A373" s="2">
        <v>31</v>
      </c>
      <c r="B373" s="2">
        <v>2</v>
      </c>
      <c r="C373" s="4">
        <v>-384.66648351421992</v>
      </c>
      <c r="D373" s="4">
        <v>1256.0975939100269</v>
      </c>
      <c r="E373" s="4">
        <v>716.14551254590549</v>
      </c>
      <c r="F373" s="12"/>
      <c r="G373" s="11">
        <v>0.93420000000000003</v>
      </c>
      <c r="H373" s="11">
        <v>3973.23</v>
      </c>
      <c r="I373" s="11">
        <v>2.89262</v>
      </c>
      <c r="J373" s="11">
        <v>0.95286400000000004</v>
      </c>
      <c r="K373" s="11">
        <v>1.68543</v>
      </c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</row>
    <row r="374" spans="1:31" x14ac:dyDescent="0.35">
      <c r="A374" s="2">
        <v>31</v>
      </c>
      <c r="B374" s="2">
        <v>3</v>
      </c>
      <c r="C374" s="4">
        <v>439.62162677120511</v>
      </c>
      <c r="D374" s="4">
        <v>697.94260948515489</v>
      </c>
      <c r="E374" s="4">
        <v>-306.36242910178129</v>
      </c>
      <c r="F374" s="12" t="s">
        <v>3</v>
      </c>
      <c r="H374" s="11"/>
      <c r="I374" s="11"/>
      <c r="J374" s="11"/>
      <c r="K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</row>
    <row r="375" spans="1:31" x14ac:dyDescent="0.35">
      <c r="A375" s="2">
        <v>31</v>
      </c>
      <c r="B375" s="2">
        <v>4</v>
      </c>
      <c r="C375" s="4">
        <v>-1450.6719352036371</v>
      </c>
      <c r="D375" s="4">
        <v>-478.50351698997292</v>
      </c>
      <c r="E375" s="4">
        <v>-367.92505829850262</v>
      </c>
      <c r="F375" s="12"/>
      <c r="G375" s="11">
        <v>0.85219999999999996</v>
      </c>
      <c r="H375" s="11">
        <v>1199.33</v>
      </c>
      <c r="I375" s="11">
        <v>1.58023</v>
      </c>
      <c r="J375" s="11">
        <v>-1.7380199999999999</v>
      </c>
      <c r="K375" s="11">
        <v>2.2594799999999999</v>
      </c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</row>
    <row r="376" spans="1:31" x14ac:dyDescent="0.35">
      <c r="A376" s="2">
        <v>31</v>
      </c>
      <c r="B376" s="2">
        <v>5</v>
      </c>
      <c r="C376" s="4">
        <v>4439.532792057179</v>
      </c>
      <c r="D376" s="4">
        <v>-852.93251548986325</v>
      </c>
      <c r="E376" s="4">
        <v>-456.85249862913793</v>
      </c>
      <c r="F376" s="12" t="s">
        <v>4</v>
      </c>
      <c r="G376" s="9"/>
      <c r="H376" s="9"/>
      <c r="I376" s="9"/>
      <c r="J376" s="9"/>
      <c r="K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spans="1:31" x14ac:dyDescent="0.35">
      <c r="A377" s="2">
        <v>31</v>
      </c>
      <c r="B377" s="2">
        <v>6</v>
      </c>
      <c r="C377" s="4">
        <v>-5209.3541383165739</v>
      </c>
      <c r="D377" s="4">
        <v>-1678.01915254402</v>
      </c>
      <c r="E377" s="4">
        <v>469.91529456534568</v>
      </c>
      <c r="F377" s="9"/>
      <c r="G377" s="5">
        <v>0.79859999999999998</v>
      </c>
      <c r="H377" s="5">
        <v>3411.05</v>
      </c>
      <c r="I377" s="5">
        <v>1.4280200000000001</v>
      </c>
      <c r="J377" s="5">
        <v>1.0797399999999999</v>
      </c>
      <c r="K377" s="5">
        <v>0.63185500000000006</v>
      </c>
      <c r="N377" s="11"/>
      <c r="O377" s="11"/>
      <c r="P377" s="11"/>
      <c r="Q377" s="11"/>
      <c r="R377" s="11"/>
      <c r="S377" s="11"/>
      <c r="T377" s="11"/>
      <c r="U377" s="9"/>
      <c r="V377" s="5"/>
      <c r="W377" s="5"/>
      <c r="X377" s="5"/>
      <c r="Y377" s="5"/>
      <c r="Z377" s="5"/>
      <c r="AA377" s="5"/>
      <c r="AB377" s="5"/>
      <c r="AC377" s="5"/>
      <c r="AD377" s="5"/>
      <c r="AE377" s="5"/>
    </row>
    <row r="378" spans="1:31" x14ac:dyDescent="0.35">
      <c r="A378" s="2">
        <v>31</v>
      </c>
      <c r="B378" s="2">
        <v>7</v>
      </c>
      <c r="C378" s="4">
        <v>-1311.8215183764109</v>
      </c>
      <c r="D378" s="4">
        <v>-1701.5362739183529</v>
      </c>
      <c r="E378" s="4">
        <v>-136.10896865748211</v>
      </c>
    </row>
    <row r="379" spans="1:31" x14ac:dyDescent="0.35">
      <c r="A379" s="2">
        <v>31</v>
      </c>
      <c r="B379" s="2">
        <v>8</v>
      </c>
      <c r="C379" s="4">
        <v>2442.3033465645899</v>
      </c>
      <c r="D379" s="4">
        <v>-877.79578794082659</v>
      </c>
      <c r="E379" s="4">
        <v>107.39859065787159</v>
      </c>
    </row>
    <row r="380" spans="1:31" x14ac:dyDescent="0.35">
      <c r="A380" s="2">
        <v>31</v>
      </c>
      <c r="B380" s="2">
        <v>9</v>
      </c>
      <c r="C380" s="4">
        <v>5568.9369499288732</v>
      </c>
      <c r="D380" s="4">
        <v>377.56716368460712</v>
      </c>
      <c r="E380" s="4">
        <v>-40.868572141625172</v>
      </c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</row>
    <row r="381" spans="1:31" x14ac:dyDescent="0.35">
      <c r="A381" s="2">
        <v>31</v>
      </c>
      <c r="B381" s="2">
        <v>10</v>
      </c>
      <c r="C381" s="4">
        <v>-1287.881237096705</v>
      </c>
      <c r="D381" s="4">
        <v>1485.7684128863921</v>
      </c>
      <c r="E381" s="4">
        <v>2138.233148531458</v>
      </c>
      <c r="S381" s="11"/>
      <c r="T381" s="11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</row>
    <row r="382" spans="1:31" x14ac:dyDescent="0.35">
      <c r="F382" s="3" t="s">
        <v>2</v>
      </c>
      <c r="G382" s="11" t="s">
        <v>5</v>
      </c>
      <c r="H382" s="11" t="s">
        <v>6</v>
      </c>
      <c r="I382" s="11" t="s">
        <v>7</v>
      </c>
      <c r="J382" s="11" t="s">
        <v>8</v>
      </c>
      <c r="K382" s="11" t="s">
        <v>9</v>
      </c>
      <c r="S382" s="11"/>
      <c r="T382" s="11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</row>
    <row r="383" spans="1:31" x14ac:dyDescent="0.35">
      <c r="F383" s="12"/>
      <c r="G383" s="9">
        <v>0.73719999999999997</v>
      </c>
      <c r="H383" s="9"/>
      <c r="I383" s="9"/>
      <c r="J383" s="9"/>
      <c r="K383" s="9"/>
      <c r="N383" s="9"/>
      <c r="O383" s="9"/>
      <c r="P383" s="9"/>
      <c r="Q383" s="9"/>
      <c r="R383" s="9"/>
      <c r="S383" s="9"/>
      <c r="T383" s="9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</row>
    <row r="384" spans="1:31" x14ac:dyDescent="0.35">
      <c r="A384" s="2">
        <v>32</v>
      </c>
      <c r="B384" s="2">
        <v>1</v>
      </c>
      <c r="C384" s="4">
        <v>14244.42535791509</v>
      </c>
      <c r="D384" s="4">
        <v>-1691.7870788680959</v>
      </c>
      <c r="E384" s="4">
        <v>-3764.084897974154</v>
      </c>
      <c r="F384" s="12" t="s">
        <v>3</v>
      </c>
      <c r="H384" s="11"/>
      <c r="I384" s="11"/>
      <c r="J384" s="11"/>
      <c r="K384" s="11"/>
      <c r="N384" s="5"/>
      <c r="O384" s="5"/>
      <c r="P384" s="5"/>
      <c r="Q384" s="5"/>
      <c r="R384" s="5"/>
      <c r="S384" s="5"/>
      <c r="T384" s="9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</row>
    <row r="385" spans="1:18" x14ac:dyDescent="0.35">
      <c r="A385" s="2">
        <v>32</v>
      </c>
      <c r="B385" s="2">
        <v>2</v>
      </c>
      <c r="C385" s="4">
        <v>5529.815038607604</v>
      </c>
      <c r="D385" s="4">
        <v>4397.590777174818</v>
      </c>
      <c r="E385" s="4">
        <v>4840.3734102590388</v>
      </c>
      <c r="F385" s="12"/>
      <c r="G385" s="5">
        <v>0.79</v>
      </c>
      <c r="H385" s="11">
        <v>1953.09</v>
      </c>
      <c r="I385" s="11">
        <v>2.0225900000000001</v>
      </c>
      <c r="J385" s="11">
        <v>-0.43282300000000001</v>
      </c>
      <c r="K385" s="11">
        <v>1.3907</v>
      </c>
    </row>
    <row r="386" spans="1:18" x14ac:dyDescent="0.35">
      <c r="A386" s="2">
        <v>32</v>
      </c>
      <c r="B386" s="2">
        <v>3</v>
      </c>
      <c r="C386" s="4">
        <v>-428.72954237818209</v>
      </c>
      <c r="D386" s="4">
        <v>-3406.7077004049879</v>
      </c>
      <c r="E386" s="4">
        <v>1698.025594213193</v>
      </c>
      <c r="F386" s="12" t="s">
        <v>4</v>
      </c>
      <c r="G386" s="9"/>
      <c r="H386" s="9"/>
      <c r="I386" s="9"/>
      <c r="J386" s="9"/>
      <c r="K386" s="9"/>
    </row>
    <row r="387" spans="1:18" x14ac:dyDescent="0.35">
      <c r="A387" s="2">
        <v>32</v>
      </c>
      <c r="B387" s="2">
        <v>4</v>
      </c>
      <c r="C387" s="4">
        <v>-6238.5901097312762</v>
      </c>
      <c r="D387" s="4">
        <v>2722.5196986963169</v>
      </c>
      <c r="E387" s="4">
        <v>-2963.2245898308051</v>
      </c>
      <c r="F387" s="9"/>
      <c r="G387" s="5">
        <v>0.69469999999999998</v>
      </c>
      <c r="H387" s="5">
        <v>1132.29</v>
      </c>
      <c r="I387" s="5">
        <v>2.2776800000000001</v>
      </c>
      <c r="J387" s="5">
        <v>-1.2791999999999999</v>
      </c>
      <c r="K387" s="5">
        <v>1.7154100000000001</v>
      </c>
      <c r="N387" s="5"/>
      <c r="O387" s="5"/>
      <c r="P387" s="5"/>
      <c r="Q387" s="5"/>
      <c r="R387" s="5"/>
    </row>
    <row r="388" spans="1:18" x14ac:dyDescent="0.35">
      <c r="A388" s="2">
        <v>32</v>
      </c>
      <c r="B388" s="2">
        <v>5</v>
      </c>
      <c r="C388" s="4">
        <v>-2453.8359797789308</v>
      </c>
      <c r="D388" s="4">
        <v>-2910.933307090897</v>
      </c>
      <c r="E388" s="4">
        <v>488.17407422476941</v>
      </c>
      <c r="N388" s="5"/>
      <c r="O388" s="5"/>
      <c r="P388" s="5"/>
      <c r="Q388" s="5"/>
      <c r="R388" s="5"/>
    </row>
    <row r="389" spans="1:18" x14ac:dyDescent="0.35">
      <c r="A389" s="2">
        <v>32</v>
      </c>
      <c r="B389" s="2">
        <v>6</v>
      </c>
      <c r="C389" s="4">
        <v>-2471.3046937994791</v>
      </c>
      <c r="D389" s="4">
        <v>-3078.9102278662558</v>
      </c>
      <c r="E389" s="4">
        <v>449.93411385151057</v>
      </c>
      <c r="N389" s="5"/>
      <c r="O389" s="5"/>
      <c r="P389" s="5"/>
      <c r="Q389" s="5"/>
      <c r="R389" s="5"/>
    </row>
    <row r="390" spans="1:18" x14ac:dyDescent="0.35">
      <c r="A390" s="2">
        <v>32</v>
      </c>
      <c r="B390" s="2">
        <v>7</v>
      </c>
      <c r="C390" s="4">
        <v>-2117.1253536644758</v>
      </c>
      <c r="D390" s="4">
        <v>-3562.8607308807268</v>
      </c>
      <c r="E390" s="4">
        <v>996.22545018002154</v>
      </c>
      <c r="N390" s="5"/>
      <c r="O390" s="5"/>
      <c r="P390" s="5"/>
      <c r="Q390" s="5"/>
      <c r="R390" s="5"/>
    </row>
    <row r="391" spans="1:18" x14ac:dyDescent="0.35">
      <c r="A391" s="2">
        <v>32</v>
      </c>
      <c r="B391" s="2">
        <v>8</v>
      </c>
      <c r="C391" s="4">
        <v>-2704.2506694342819</v>
      </c>
      <c r="D391" s="4">
        <v>-2382.7544953331089</v>
      </c>
      <c r="E391" s="4">
        <v>269.29636156724342</v>
      </c>
      <c r="N391" s="5"/>
      <c r="O391" s="5"/>
      <c r="P391" s="5"/>
      <c r="Q391" s="5"/>
      <c r="R391" s="5"/>
    </row>
    <row r="392" spans="1:18" x14ac:dyDescent="0.35">
      <c r="A392" s="2">
        <v>32</v>
      </c>
      <c r="B392" s="2">
        <v>9</v>
      </c>
      <c r="C392" s="4">
        <v>-4024.9075112735732</v>
      </c>
      <c r="D392" s="4">
        <v>4269.5021146470544</v>
      </c>
      <c r="E392" s="4">
        <v>-3322.0584441552869</v>
      </c>
      <c r="F392" s="3" t="s">
        <v>2</v>
      </c>
      <c r="G392" s="11" t="s">
        <v>5</v>
      </c>
      <c r="H392" s="11" t="s">
        <v>6</v>
      </c>
      <c r="I392" s="11" t="s">
        <v>7</v>
      </c>
      <c r="J392" s="11" t="s">
        <v>8</v>
      </c>
      <c r="K392" s="11" t="s">
        <v>9</v>
      </c>
    </row>
    <row r="393" spans="1:18" x14ac:dyDescent="0.35">
      <c r="A393" s="2">
        <v>32</v>
      </c>
      <c r="B393" s="2">
        <v>10</v>
      </c>
      <c r="C393" s="4">
        <v>664.50346353688951</v>
      </c>
      <c r="D393" s="4">
        <v>5644.3409499267536</v>
      </c>
      <c r="E393" s="4">
        <v>1307.338927664503</v>
      </c>
      <c r="F393" s="12"/>
      <c r="G393" s="5">
        <v>0.8165</v>
      </c>
      <c r="H393" s="5">
        <v>7886.36</v>
      </c>
      <c r="I393" s="5">
        <v>1.1796899999999999</v>
      </c>
      <c r="J393" s="5">
        <v>-1.70879</v>
      </c>
      <c r="K393" s="5">
        <v>1.26403</v>
      </c>
    </row>
    <row r="394" spans="1:18" x14ac:dyDescent="0.35">
      <c r="F394" s="12" t="s">
        <v>3</v>
      </c>
      <c r="H394" s="11"/>
      <c r="I394" s="11"/>
      <c r="J394" s="11"/>
      <c r="K394" s="11"/>
    </row>
    <row r="395" spans="1:18" x14ac:dyDescent="0.35">
      <c r="F395" s="12"/>
      <c r="G395" s="5">
        <v>0.88790000000000002</v>
      </c>
      <c r="H395" s="11">
        <v>1674.28</v>
      </c>
      <c r="I395" s="11">
        <v>3.0769799999999998</v>
      </c>
      <c r="J395" s="11">
        <v>-0.23131399999999999</v>
      </c>
      <c r="K395" s="11">
        <v>2.3791000000000002</v>
      </c>
      <c r="N395" s="5"/>
      <c r="O395" s="5"/>
      <c r="P395" s="5"/>
      <c r="Q395" s="5"/>
    </row>
    <row r="396" spans="1:18" x14ac:dyDescent="0.35">
      <c r="A396" s="2">
        <v>33</v>
      </c>
      <c r="B396" s="2">
        <v>1</v>
      </c>
      <c r="C396" s="4">
        <v>-2938.2935471064552</v>
      </c>
      <c r="D396" s="4">
        <v>1615.550765407278</v>
      </c>
      <c r="E396" s="4">
        <v>-1107.9518059394959</v>
      </c>
      <c r="F396" s="12" t="s">
        <v>4</v>
      </c>
      <c r="G396" s="9"/>
      <c r="H396" s="9"/>
      <c r="I396" s="9"/>
      <c r="J396" s="9"/>
      <c r="K396" s="9"/>
      <c r="N396" s="5"/>
      <c r="O396" s="5"/>
      <c r="P396" s="5"/>
      <c r="Q396" s="5"/>
    </row>
    <row r="397" spans="1:18" x14ac:dyDescent="0.35">
      <c r="A397" s="2">
        <v>33</v>
      </c>
      <c r="B397" s="2">
        <v>2</v>
      </c>
      <c r="C397" s="4">
        <v>4500.9728500499787</v>
      </c>
      <c r="D397" s="4">
        <v>669.23519903520105</v>
      </c>
      <c r="E397" s="4">
        <v>-2063.1933337306382</v>
      </c>
      <c r="F397" s="9"/>
      <c r="G397" s="5">
        <v>0.69889999999999997</v>
      </c>
      <c r="H397" s="5">
        <v>821.45</v>
      </c>
      <c r="I397" s="5">
        <v>1.1126799999999999</v>
      </c>
      <c r="J397" s="5">
        <v>-2.4859100000000001</v>
      </c>
      <c r="K397" s="5">
        <v>2.3210600000000001</v>
      </c>
      <c r="N397" s="5"/>
      <c r="O397" s="5"/>
      <c r="P397" s="5"/>
      <c r="Q397" s="5"/>
    </row>
    <row r="398" spans="1:18" x14ac:dyDescent="0.35">
      <c r="A398" s="2">
        <v>33</v>
      </c>
      <c r="B398" s="2">
        <v>3</v>
      </c>
      <c r="C398" s="4">
        <v>6630.1013504762022</v>
      </c>
      <c r="D398" s="4">
        <v>-142.95915847460259</v>
      </c>
      <c r="E398" s="4">
        <v>821.81464443718039</v>
      </c>
      <c r="N398" s="5"/>
      <c r="O398" s="5"/>
      <c r="P398" s="5"/>
      <c r="Q398" s="5"/>
    </row>
    <row r="399" spans="1:18" x14ac:dyDescent="0.35">
      <c r="A399" s="2">
        <v>33</v>
      </c>
      <c r="B399" s="2">
        <v>4</v>
      </c>
      <c r="C399" s="4">
        <v>-620.09921948489978</v>
      </c>
      <c r="D399" s="4">
        <v>-631.5866091900632</v>
      </c>
      <c r="E399" s="4">
        <v>-292.56704366971991</v>
      </c>
      <c r="N399" s="5"/>
      <c r="O399" s="5"/>
      <c r="P399" s="5"/>
      <c r="Q399" s="5"/>
    </row>
    <row r="400" spans="1:18" x14ac:dyDescent="0.35">
      <c r="A400" s="2">
        <v>33</v>
      </c>
      <c r="B400" s="2">
        <v>5</v>
      </c>
      <c r="C400" s="4">
        <v>916.19460818705011</v>
      </c>
      <c r="D400" s="4">
        <v>-1049.1700924648919</v>
      </c>
      <c r="E400" s="4">
        <v>578.98201211290484</v>
      </c>
      <c r="N400" s="5"/>
      <c r="O400" s="5"/>
      <c r="P400" s="5"/>
      <c r="Q400" s="5"/>
    </row>
    <row r="401" spans="1:17" x14ac:dyDescent="0.35">
      <c r="A401" s="2">
        <v>33</v>
      </c>
      <c r="B401" s="2">
        <v>6</v>
      </c>
      <c r="C401" s="4">
        <v>2651.118204352576</v>
      </c>
      <c r="D401" s="4">
        <v>-1483.1640875368939</v>
      </c>
      <c r="E401" s="4">
        <v>363.13847367752601</v>
      </c>
    </row>
    <row r="402" spans="1:17" x14ac:dyDescent="0.35">
      <c r="A402" s="2">
        <v>33</v>
      </c>
      <c r="B402" s="2">
        <v>7</v>
      </c>
      <c r="C402" s="4">
        <v>-6418.5200353213158</v>
      </c>
      <c r="D402" s="4">
        <v>-968.11854186127005</v>
      </c>
      <c r="E402" s="4">
        <v>803.15184027578562</v>
      </c>
      <c r="F402" s="3" t="s">
        <v>2</v>
      </c>
      <c r="G402" s="11" t="s">
        <v>5</v>
      </c>
      <c r="H402" s="11" t="s">
        <v>6</v>
      </c>
      <c r="I402" s="11" t="s">
        <v>7</v>
      </c>
      <c r="J402" s="11" t="s">
        <v>8</v>
      </c>
      <c r="K402" s="11" t="s">
        <v>9</v>
      </c>
    </row>
    <row r="403" spans="1:17" x14ac:dyDescent="0.35">
      <c r="A403" s="2">
        <v>33</v>
      </c>
      <c r="B403" s="2">
        <v>8</v>
      </c>
      <c r="C403" s="4">
        <v>-2028.1413545022669</v>
      </c>
      <c r="D403" s="4">
        <v>-749.04375525388662</v>
      </c>
      <c r="E403" s="4">
        <v>-338.97180114856508</v>
      </c>
      <c r="F403" s="12"/>
      <c r="G403" s="5">
        <v>0.8498</v>
      </c>
      <c r="H403" s="5">
        <v>2521.92</v>
      </c>
      <c r="I403" s="5">
        <v>0.48380000000000001</v>
      </c>
      <c r="J403" s="5">
        <v>-6.2800099999999999</v>
      </c>
      <c r="K403" s="5">
        <v>1.7035400000000001</v>
      </c>
      <c r="N403" s="5"/>
      <c r="O403" s="5"/>
      <c r="P403" s="5"/>
      <c r="Q403" s="5"/>
    </row>
    <row r="404" spans="1:17" x14ac:dyDescent="0.35">
      <c r="A404" s="2">
        <v>33</v>
      </c>
      <c r="B404" s="2">
        <v>9</v>
      </c>
      <c r="C404" s="4">
        <v>-2949.1596209436552</v>
      </c>
      <c r="D404" s="4">
        <v>389.89319329357141</v>
      </c>
      <c r="E404" s="4">
        <v>-954.46146685794292</v>
      </c>
      <c r="F404" s="12" t="s">
        <v>3</v>
      </c>
      <c r="H404" s="11"/>
      <c r="I404" s="11"/>
      <c r="J404" s="11"/>
      <c r="K404" s="11"/>
      <c r="N404" s="5"/>
      <c r="O404" s="5"/>
      <c r="P404" s="5"/>
      <c r="Q404" s="5"/>
    </row>
    <row r="405" spans="1:17" x14ac:dyDescent="0.35">
      <c r="A405" s="2">
        <v>33</v>
      </c>
      <c r="B405" s="2">
        <v>10</v>
      </c>
      <c r="C405" s="4">
        <v>255.82676429341331</v>
      </c>
      <c r="D405" s="4">
        <v>2349.363087045951</v>
      </c>
      <c r="E405" s="4">
        <v>2190.0584808427352</v>
      </c>
      <c r="F405" s="12"/>
      <c r="G405" s="5">
        <v>0.71579999999999999</v>
      </c>
      <c r="H405" s="11">
        <v>1447.38</v>
      </c>
      <c r="I405" s="11">
        <v>2.5857999999999999</v>
      </c>
      <c r="J405" s="11">
        <v>0.77249999999999996</v>
      </c>
      <c r="K405" s="11">
        <v>1.9728300000000001</v>
      </c>
      <c r="N405" s="5"/>
      <c r="O405" s="5"/>
      <c r="P405" s="5"/>
      <c r="Q405" s="5"/>
    </row>
    <row r="406" spans="1:17" x14ac:dyDescent="0.35">
      <c r="F406" s="12" t="s">
        <v>4</v>
      </c>
      <c r="G406" s="9"/>
      <c r="H406" s="9"/>
      <c r="I406" s="9"/>
      <c r="J406" s="9"/>
      <c r="K406" s="9"/>
      <c r="N406" s="5"/>
      <c r="O406" s="5"/>
      <c r="P406" s="5"/>
      <c r="Q406" s="5"/>
    </row>
    <row r="407" spans="1:17" x14ac:dyDescent="0.35">
      <c r="F407" s="9"/>
      <c r="G407" s="5">
        <v>0.61360000000000003</v>
      </c>
      <c r="H407" s="5">
        <v>1073.32</v>
      </c>
      <c r="I407" s="5">
        <v>0.34753400000000001</v>
      </c>
      <c r="J407" s="5">
        <v>-5.9546099999999997</v>
      </c>
      <c r="K407" s="5">
        <v>1.93808</v>
      </c>
      <c r="N407" s="5"/>
      <c r="O407" s="5"/>
      <c r="P407" s="5"/>
      <c r="Q407" s="5"/>
    </row>
    <row r="408" spans="1:17" x14ac:dyDescent="0.35">
      <c r="A408" s="2">
        <v>34</v>
      </c>
      <c r="B408" s="2">
        <v>1</v>
      </c>
      <c r="C408" s="4">
        <v>852.96850493773616</v>
      </c>
      <c r="D408" s="4">
        <v>1837.350732237835</v>
      </c>
      <c r="E408" s="4">
        <v>-377.31363425029969</v>
      </c>
      <c r="N408" s="11"/>
      <c r="O408" s="11"/>
      <c r="P408" s="9"/>
      <c r="Q408" s="9"/>
    </row>
    <row r="409" spans="1:17" x14ac:dyDescent="0.35">
      <c r="A409" s="2">
        <v>34</v>
      </c>
      <c r="B409" s="2">
        <v>2</v>
      </c>
      <c r="C409" s="4">
        <v>88.222291909395068</v>
      </c>
      <c r="D409" s="4">
        <v>1634.264523563988</v>
      </c>
      <c r="E409" s="4">
        <v>2170.478896148335</v>
      </c>
      <c r="N409" s="11"/>
      <c r="O409" s="11"/>
      <c r="P409" s="11"/>
      <c r="Q409" s="9"/>
    </row>
    <row r="410" spans="1:17" x14ac:dyDescent="0.35">
      <c r="A410" s="2">
        <v>34</v>
      </c>
      <c r="B410" s="2">
        <v>3</v>
      </c>
      <c r="C410" s="4">
        <v>1222.0011162901981</v>
      </c>
      <c r="D410" s="4">
        <v>532.15471120904988</v>
      </c>
      <c r="E410" s="4">
        <v>-1199.626427392911</v>
      </c>
      <c r="N410" s="11"/>
      <c r="O410" s="11"/>
      <c r="P410" s="11"/>
      <c r="Q410" s="9"/>
    </row>
    <row r="411" spans="1:17" x14ac:dyDescent="0.35">
      <c r="A411" s="2">
        <v>34</v>
      </c>
      <c r="B411" s="2">
        <v>4</v>
      </c>
      <c r="C411" s="4">
        <v>-4728.6025340521073</v>
      </c>
      <c r="D411" s="4">
        <v>-946.02772649648159</v>
      </c>
      <c r="E411" s="4">
        <v>797.38867969922194</v>
      </c>
    </row>
    <row r="412" spans="1:17" x14ac:dyDescent="0.35">
      <c r="A412" s="2">
        <v>34</v>
      </c>
      <c r="B412" s="2">
        <v>5</v>
      </c>
      <c r="C412" s="4">
        <v>2178.4519441037201</v>
      </c>
      <c r="D412" s="4">
        <v>-753.8774307681424</v>
      </c>
      <c r="E412" s="4">
        <v>-431.18783947583421</v>
      </c>
      <c r="F412" s="3" t="s">
        <v>2</v>
      </c>
      <c r="G412" s="11" t="s">
        <v>5</v>
      </c>
      <c r="H412" s="11" t="s">
        <v>6</v>
      </c>
      <c r="I412" s="11" t="s">
        <v>7</v>
      </c>
      <c r="J412" s="11" t="s">
        <v>8</v>
      </c>
      <c r="K412" s="11" t="s">
        <v>9</v>
      </c>
    </row>
    <row r="413" spans="1:17" x14ac:dyDescent="0.35">
      <c r="A413" s="2">
        <v>34</v>
      </c>
      <c r="B413" s="2">
        <v>6</v>
      </c>
      <c r="C413" s="4">
        <v>-1447.605002826773</v>
      </c>
      <c r="D413" s="4">
        <v>-1729.178797170171</v>
      </c>
      <c r="E413" s="4">
        <v>-228.93289690344889</v>
      </c>
      <c r="F413" s="12"/>
      <c r="G413" s="5">
        <v>0.8659</v>
      </c>
      <c r="H413" s="5">
        <v>3548.76</v>
      </c>
      <c r="I413" s="5">
        <v>1.24637</v>
      </c>
      <c r="J413" s="5">
        <v>0.23303199999999999</v>
      </c>
      <c r="K413" s="5">
        <v>1.47516</v>
      </c>
    </row>
    <row r="414" spans="1:17" x14ac:dyDescent="0.35">
      <c r="A414" s="2">
        <v>34</v>
      </c>
      <c r="B414" s="2">
        <v>7</v>
      </c>
      <c r="C414" s="4">
        <v>2745.0115087315962</v>
      </c>
      <c r="D414" s="4">
        <v>-1341.321299621927</v>
      </c>
      <c r="E414" s="4">
        <v>1112.1117507345309</v>
      </c>
      <c r="F414" s="12" t="s">
        <v>3</v>
      </c>
      <c r="H414" s="11"/>
      <c r="I414" s="11"/>
      <c r="J414" s="11"/>
      <c r="K414" s="11"/>
      <c r="N414" s="11"/>
      <c r="O414" s="11"/>
      <c r="P414" s="11"/>
      <c r="Q414" s="9"/>
    </row>
    <row r="415" spans="1:17" x14ac:dyDescent="0.35">
      <c r="A415" s="2">
        <v>34</v>
      </c>
      <c r="B415" s="2">
        <v>8</v>
      </c>
      <c r="C415" s="4">
        <v>6185.6253922891592</v>
      </c>
      <c r="D415" s="4">
        <v>-25.69456501454972</v>
      </c>
      <c r="E415" s="4">
        <v>-469.8878297368521</v>
      </c>
      <c r="F415" s="12"/>
      <c r="G415" s="5">
        <v>0.97950000000000004</v>
      </c>
      <c r="H415" s="11">
        <v>5790.19</v>
      </c>
      <c r="I415" s="11">
        <v>2.72715</v>
      </c>
      <c r="J415" s="11">
        <v>-0.61868199999999995</v>
      </c>
      <c r="K415" s="11">
        <v>0.44843100000000002</v>
      </c>
      <c r="N415" s="11"/>
      <c r="O415" s="11"/>
      <c r="P415" s="11"/>
      <c r="Q415" s="9"/>
    </row>
    <row r="416" spans="1:17" x14ac:dyDescent="0.35">
      <c r="A416" s="2">
        <v>34</v>
      </c>
      <c r="B416" s="2">
        <v>9</v>
      </c>
      <c r="C416" s="4">
        <v>-1772.8489832260971</v>
      </c>
      <c r="D416" s="4">
        <v>102.15345067101811</v>
      </c>
      <c r="E416" s="4">
        <v>-416.97316033231368</v>
      </c>
      <c r="F416" s="12" t="s">
        <v>4</v>
      </c>
      <c r="G416" s="9"/>
      <c r="H416" s="9"/>
      <c r="I416" s="9"/>
      <c r="J416" s="9"/>
      <c r="K416" s="9"/>
      <c r="N416" s="11"/>
      <c r="O416" s="11"/>
      <c r="P416" s="11"/>
      <c r="Q416" s="9"/>
    </row>
    <row r="417" spans="1:17" x14ac:dyDescent="0.35">
      <c r="A417" s="2">
        <v>34</v>
      </c>
      <c r="B417" s="2">
        <v>10</v>
      </c>
      <c r="C417" s="4">
        <v>-5323.2242381561946</v>
      </c>
      <c r="D417" s="4">
        <v>690.17640138955983</v>
      </c>
      <c r="E417" s="4">
        <v>-956.05753849052417</v>
      </c>
      <c r="F417" s="9"/>
      <c r="G417" s="5">
        <v>0.78400000000000003</v>
      </c>
      <c r="H417" s="5">
        <v>897.19799999999998</v>
      </c>
      <c r="I417" s="5">
        <v>1.55888</v>
      </c>
      <c r="J417" s="5">
        <v>-0.45011899999999999</v>
      </c>
      <c r="K417" s="5">
        <v>2.4444400000000002</v>
      </c>
      <c r="N417" s="11"/>
      <c r="O417" s="11"/>
      <c r="P417" s="11"/>
      <c r="Q417" s="9"/>
    </row>
    <row r="418" spans="1:17" x14ac:dyDescent="0.35">
      <c r="N418" s="11"/>
      <c r="O418" s="11"/>
      <c r="P418" s="11"/>
      <c r="Q418" s="9"/>
    </row>
    <row r="420" spans="1:17" x14ac:dyDescent="0.35">
      <c r="A420" s="2">
        <v>35</v>
      </c>
      <c r="B420" s="2">
        <v>1</v>
      </c>
      <c r="C420" s="4">
        <v>-645.75250757670142</v>
      </c>
      <c r="D420" s="4">
        <v>-1545.0985428465749</v>
      </c>
      <c r="E420" s="4">
        <v>-940.61983089455316</v>
      </c>
    </row>
    <row r="421" spans="1:17" x14ac:dyDescent="0.35">
      <c r="A421" s="2">
        <v>35</v>
      </c>
      <c r="B421" s="2">
        <v>2</v>
      </c>
      <c r="C421" s="4">
        <v>-5678.0481989171094</v>
      </c>
      <c r="D421" s="4">
        <v>-346.94100246961659</v>
      </c>
      <c r="E421" s="4">
        <v>-213.111990022545</v>
      </c>
    </row>
    <row r="422" spans="1:17" x14ac:dyDescent="0.35">
      <c r="A422" s="2">
        <v>35</v>
      </c>
      <c r="B422" s="2">
        <v>3</v>
      </c>
      <c r="C422" s="4">
        <v>-4643.6980313975964</v>
      </c>
      <c r="D422" s="4">
        <v>-408.04370641817729</v>
      </c>
      <c r="E422" s="4">
        <v>446.235192673661</v>
      </c>
      <c r="F422" s="3" t="s">
        <v>2</v>
      </c>
      <c r="G422" s="11" t="s">
        <v>5</v>
      </c>
      <c r="H422" s="11" t="s">
        <v>6</v>
      </c>
      <c r="I422" s="11" t="s">
        <v>7</v>
      </c>
      <c r="J422" s="11" t="s">
        <v>8</v>
      </c>
      <c r="K422" s="11" t="s">
        <v>9</v>
      </c>
    </row>
    <row r="423" spans="1:17" x14ac:dyDescent="0.35">
      <c r="A423" s="2">
        <v>35</v>
      </c>
      <c r="B423" s="2">
        <v>4</v>
      </c>
      <c r="C423" s="4">
        <v>-6151.4518467259504</v>
      </c>
      <c r="D423" s="4">
        <v>-25.065025614756809</v>
      </c>
      <c r="E423" s="4">
        <v>1744.598266378805</v>
      </c>
      <c r="F423" s="12"/>
      <c r="G423" s="5">
        <v>0.78300000000000003</v>
      </c>
      <c r="H423" s="5">
        <v>9565.76</v>
      </c>
      <c r="I423" s="5">
        <v>0.248112</v>
      </c>
      <c r="J423" s="5">
        <v>-5.21183</v>
      </c>
      <c r="K423" s="5">
        <v>1.3538399999999999</v>
      </c>
      <c r="N423" s="11"/>
      <c r="O423" s="11"/>
      <c r="P423" s="5"/>
      <c r="Q423" s="9"/>
    </row>
    <row r="424" spans="1:17" x14ac:dyDescent="0.35">
      <c r="A424" s="2">
        <v>35</v>
      </c>
      <c r="B424" s="2">
        <v>5</v>
      </c>
      <c r="C424" s="4">
        <v>-4370.1127316256589</v>
      </c>
      <c r="D424" s="4">
        <v>2054.6706897405838</v>
      </c>
      <c r="E424" s="4">
        <v>-622.28769938425114</v>
      </c>
      <c r="F424" s="12" t="s">
        <v>3</v>
      </c>
      <c r="H424" s="11"/>
      <c r="I424" s="11"/>
      <c r="J424" s="11"/>
      <c r="K424" s="11"/>
      <c r="N424" s="11"/>
      <c r="O424" s="11"/>
      <c r="P424" s="5"/>
      <c r="Q424" s="9"/>
    </row>
    <row r="425" spans="1:17" x14ac:dyDescent="0.35">
      <c r="A425" s="2">
        <v>35</v>
      </c>
      <c r="B425" s="2">
        <v>6</v>
      </c>
      <c r="C425" s="4">
        <v>9930.2570614546694</v>
      </c>
      <c r="D425" s="4">
        <v>-53.582802846668187</v>
      </c>
      <c r="E425" s="4">
        <v>885.09849459100337</v>
      </c>
      <c r="F425" s="12"/>
      <c r="G425" s="5">
        <v>0.89510000000000001</v>
      </c>
      <c r="H425" s="11">
        <v>10447.1</v>
      </c>
      <c r="I425" s="11">
        <v>1.92418</v>
      </c>
      <c r="J425" s="11">
        <v>-0.127382</v>
      </c>
      <c r="K425" s="11">
        <v>1.2666299999999999</v>
      </c>
      <c r="N425" s="11"/>
      <c r="O425" s="11"/>
      <c r="P425" s="5"/>
      <c r="Q425" s="9"/>
    </row>
    <row r="426" spans="1:17" x14ac:dyDescent="0.35">
      <c r="A426" s="2">
        <v>35</v>
      </c>
      <c r="B426" s="2">
        <v>7</v>
      </c>
      <c r="C426" s="4">
        <v>7944.3134467839154</v>
      </c>
      <c r="D426" s="4">
        <v>834.72790506237322</v>
      </c>
      <c r="E426" s="4">
        <v>379.17313498766049</v>
      </c>
      <c r="F426" s="12" t="s">
        <v>4</v>
      </c>
      <c r="G426" s="9"/>
      <c r="H426" s="9"/>
      <c r="I426" s="9"/>
      <c r="J426" s="9"/>
      <c r="K426" s="9"/>
      <c r="N426" s="11"/>
      <c r="O426" s="11"/>
      <c r="P426" s="5"/>
      <c r="Q426" s="9"/>
    </row>
    <row r="427" spans="1:17" x14ac:dyDescent="0.35">
      <c r="A427" s="2">
        <v>35</v>
      </c>
      <c r="B427" s="2">
        <v>8</v>
      </c>
      <c r="C427" s="4">
        <v>814.73399246578265</v>
      </c>
      <c r="D427" s="4">
        <v>1841.306682865154</v>
      </c>
      <c r="E427" s="4">
        <v>-989.79394800105968</v>
      </c>
      <c r="F427" s="9"/>
      <c r="G427" s="9">
        <v>0.78449999999999998</v>
      </c>
      <c r="H427" s="9"/>
      <c r="I427" s="9"/>
      <c r="J427" s="9"/>
      <c r="K427" s="9"/>
      <c r="N427" s="11"/>
      <c r="O427" s="11"/>
      <c r="P427" s="5"/>
      <c r="Q427" s="9"/>
    </row>
    <row r="428" spans="1:17" x14ac:dyDescent="0.35">
      <c r="A428" s="2">
        <v>35</v>
      </c>
      <c r="B428" s="2">
        <v>9</v>
      </c>
      <c r="C428" s="4">
        <v>750.37881926731256</v>
      </c>
      <c r="D428" s="4">
        <v>-910.76907947783548</v>
      </c>
      <c r="E428" s="4">
        <v>1012.645755126529</v>
      </c>
      <c r="N428" s="11"/>
      <c r="O428" s="11"/>
      <c r="P428" s="5"/>
      <c r="Q428" s="9"/>
    </row>
    <row r="429" spans="1:17" x14ac:dyDescent="0.35">
      <c r="A429" s="2">
        <v>35</v>
      </c>
      <c r="B429" s="2">
        <v>10</v>
      </c>
      <c r="C429" s="4">
        <v>2049.3799962723961</v>
      </c>
      <c r="D429" s="4">
        <v>-1441.2051179945411</v>
      </c>
      <c r="E429" s="4">
        <v>-1701.937375455318</v>
      </c>
      <c r="N429" s="11"/>
      <c r="O429" s="11"/>
      <c r="P429" s="5"/>
      <c r="Q429" s="9"/>
    </row>
    <row r="430" spans="1:17" x14ac:dyDescent="0.35">
      <c r="N430" s="11"/>
      <c r="O430" s="11"/>
      <c r="P430" s="5"/>
      <c r="Q430" s="9"/>
    </row>
    <row r="431" spans="1:17" x14ac:dyDescent="0.35">
      <c r="N431" s="11"/>
      <c r="O431" s="11"/>
      <c r="P431" s="5"/>
      <c r="Q431" s="9"/>
    </row>
    <row r="432" spans="1:17" x14ac:dyDescent="0.35">
      <c r="A432" s="2">
        <v>36</v>
      </c>
      <c r="B432" s="2">
        <v>1</v>
      </c>
      <c r="C432" s="4">
        <v>-7944.0396912749529</v>
      </c>
      <c r="D432" s="4">
        <v>-1168.196579744558</v>
      </c>
      <c r="E432" s="4">
        <v>-1343.8794994957341</v>
      </c>
      <c r="F432" s="3" t="s">
        <v>2</v>
      </c>
      <c r="G432" s="11" t="s">
        <v>5</v>
      </c>
      <c r="H432" s="11" t="s">
        <v>6</v>
      </c>
      <c r="I432" s="11" t="s">
        <v>7</v>
      </c>
      <c r="J432" s="11" t="s">
        <v>8</v>
      </c>
      <c r="K432" s="11" t="s">
        <v>9</v>
      </c>
      <c r="N432" s="11"/>
      <c r="O432" s="11"/>
      <c r="P432" s="5"/>
      <c r="Q432" s="9"/>
    </row>
    <row r="433" spans="1:17" x14ac:dyDescent="0.35">
      <c r="A433" s="2">
        <v>36</v>
      </c>
      <c r="B433" s="2">
        <v>2</v>
      </c>
      <c r="C433" s="4">
        <v>5521.2709014349057</v>
      </c>
      <c r="D433" s="4">
        <v>-1656.5535520651999</v>
      </c>
      <c r="E433" s="4">
        <v>943.94173834692231</v>
      </c>
      <c r="F433" s="12"/>
      <c r="G433" s="5">
        <v>0.88649999999999995</v>
      </c>
      <c r="H433" s="5">
        <v>3003.05</v>
      </c>
      <c r="I433" s="5">
        <v>1.50257</v>
      </c>
      <c r="J433" s="5">
        <v>1.74125</v>
      </c>
      <c r="K433" s="5">
        <v>2.14541</v>
      </c>
    </row>
    <row r="434" spans="1:17" x14ac:dyDescent="0.35">
      <c r="A434" s="2">
        <v>36</v>
      </c>
      <c r="B434" s="2">
        <v>3</v>
      </c>
      <c r="C434" s="4">
        <v>-298.36745020740523</v>
      </c>
      <c r="D434" s="4">
        <v>-27.34275870695096</v>
      </c>
      <c r="E434" s="4">
        <v>-117.71626930349581</v>
      </c>
      <c r="F434" s="12" t="s">
        <v>3</v>
      </c>
      <c r="H434" s="5"/>
      <c r="I434" s="5"/>
      <c r="J434" s="5"/>
      <c r="K434" s="5"/>
      <c r="N434" s="5"/>
      <c r="O434" s="11"/>
      <c r="P434" s="5"/>
      <c r="Q434" s="9"/>
    </row>
    <row r="435" spans="1:17" x14ac:dyDescent="0.35">
      <c r="A435" s="2">
        <v>36</v>
      </c>
      <c r="B435" s="2">
        <v>4</v>
      </c>
      <c r="C435" s="4">
        <v>226.10708917653841</v>
      </c>
      <c r="D435" s="4">
        <v>1595.48862437088</v>
      </c>
      <c r="E435" s="4">
        <v>837.14184665433004</v>
      </c>
      <c r="F435" s="12"/>
      <c r="G435" s="5">
        <v>0.72419999999999995</v>
      </c>
      <c r="H435" s="5" t="s">
        <v>22</v>
      </c>
      <c r="I435" s="5" t="s">
        <v>23</v>
      </c>
      <c r="J435" s="5">
        <v>6.7386600000000003</v>
      </c>
      <c r="K435" s="5">
        <v>2.8344499999999999</v>
      </c>
      <c r="N435" s="5"/>
      <c r="O435" s="11"/>
      <c r="P435" s="5"/>
      <c r="Q435" s="9"/>
    </row>
    <row r="436" spans="1:17" x14ac:dyDescent="0.35">
      <c r="A436" s="2">
        <v>36</v>
      </c>
      <c r="B436" s="2">
        <v>5</v>
      </c>
      <c r="C436" s="4">
        <v>-1093.7058244973391</v>
      </c>
      <c r="D436" s="4">
        <v>1536.7637090344219</v>
      </c>
      <c r="E436" s="4">
        <v>-179.02665546403091</v>
      </c>
      <c r="F436" s="12" t="s">
        <v>4</v>
      </c>
      <c r="G436" s="5"/>
      <c r="H436" s="5"/>
      <c r="I436" s="5"/>
      <c r="J436" s="5"/>
      <c r="K436" s="5"/>
      <c r="N436" s="5"/>
      <c r="O436" s="11"/>
      <c r="P436" s="5"/>
      <c r="Q436" s="9"/>
    </row>
    <row r="437" spans="1:17" x14ac:dyDescent="0.35">
      <c r="A437" s="2">
        <v>36</v>
      </c>
      <c r="B437" s="2">
        <v>6</v>
      </c>
      <c r="C437" s="4">
        <v>9707.7124724378082</v>
      </c>
      <c r="D437" s="4">
        <v>-529.185215089949</v>
      </c>
      <c r="E437" s="4">
        <v>-913.12863851978557</v>
      </c>
      <c r="F437" s="9"/>
      <c r="G437" s="5">
        <v>0.91390000000000005</v>
      </c>
      <c r="H437" s="5">
        <v>2070.02</v>
      </c>
      <c r="I437" s="5">
        <v>0.38059599999999999</v>
      </c>
      <c r="J437" s="5">
        <v>1.6976</v>
      </c>
      <c r="K437" s="5">
        <v>1.3385800000000001</v>
      </c>
      <c r="N437" s="5"/>
      <c r="O437" s="11"/>
      <c r="P437" s="9"/>
      <c r="Q437" s="9"/>
    </row>
    <row r="438" spans="1:17" x14ac:dyDescent="0.35">
      <c r="A438" s="2">
        <v>36</v>
      </c>
      <c r="B438" s="2">
        <v>7</v>
      </c>
      <c r="C438" s="4">
        <v>-999.65916475510551</v>
      </c>
      <c r="D438" s="4">
        <v>1675.1281990764251</v>
      </c>
      <c r="E438" s="4">
        <v>-87.411883058641124</v>
      </c>
      <c r="N438" s="5"/>
      <c r="O438" s="5"/>
      <c r="P438" s="5"/>
      <c r="Q438" s="5"/>
    </row>
    <row r="439" spans="1:17" x14ac:dyDescent="0.35">
      <c r="A439" s="2">
        <v>36</v>
      </c>
      <c r="B439" s="2">
        <v>8</v>
      </c>
      <c r="C439" s="4">
        <v>2252.0605334447418</v>
      </c>
      <c r="D439" s="4">
        <v>450.08763074668718</v>
      </c>
      <c r="E439" s="4">
        <v>-344.13483914973477</v>
      </c>
      <c r="N439" s="5"/>
      <c r="O439" s="5"/>
      <c r="P439" s="5"/>
      <c r="Q439" s="5"/>
    </row>
    <row r="440" spans="1:17" x14ac:dyDescent="0.35">
      <c r="A440" s="2">
        <v>36</v>
      </c>
      <c r="B440" s="2">
        <v>9</v>
      </c>
      <c r="C440" s="4">
        <v>-2925.1946347908361</v>
      </c>
      <c r="D440" s="4">
        <v>-897.99246757390983</v>
      </c>
      <c r="E440" s="4">
        <v>-921.51858650552538</v>
      </c>
      <c r="N440" s="5"/>
      <c r="O440" s="5"/>
      <c r="P440" s="5"/>
      <c r="Q440" s="5"/>
    </row>
    <row r="441" spans="1:17" x14ac:dyDescent="0.35">
      <c r="A441" s="2">
        <v>36</v>
      </c>
      <c r="B441" s="2">
        <v>10</v>
      </c>
      <c r="C441" s="4">
        <v>-4446.1842309679769</v>
      </c>
      <c r="D441" s="4">
        <v>-978.19759004790683</v>
      </c>
      <c r="E441" s="4">
        <v>2125.7327864956728</v>
      </c>
      <c r="N441" s="5"/>
      <c r="O441" s="5"/>
      <c r="P441" s="5"/>
      <c r="Q441" s="5"/>
    </row>
    <row r="442" spans="1:17" x14ac:dyDescent="0.35">
      <c r="F442" s="3" t="s">
        <v>2</v>
      </c>
      <c r="G442" s="11" t="s">
        <v>5</v>
      </c>
      <c r="H442" s="11" t="s">
        <v>6</v>
      </c>
      <c r="I442" s="11" t="s">
        <v>7</v>
      </c>
      <c r="J442" s="11" t="s">
        <v>8</v>
      </c>
      <c r="K442" s="11" t="s">
        <v>9</v>
      </c>
    </row>
    <row r="443" spans="1:17" x14ac:dyDescent="0.35">
      <c r="F443" s="12"/>
      <c r="G443" s="5">
        <v>0.65600000000000003</v>
      </c>
      <c r="H443" s="5">
        <v>3497.35</v>
      </c>
      <c r="I443" s="5">
        <v>0.60423199999999999</v>
      </c>
      <c r="J443" s="5">
        <v>2.3002899999999999</v>
      </c>
      <c r="K443" s="5">
        <v>1.61761</v>
      </c>
    </row>
    <row r="444" spans="1:17" x14ac:dyDescent="0.35">
      <c r="F444" s="12" t="s">
        <v>3</v>
      </c>
      <c r="H444" s="5"/>
      <c r="I444" s="5"/>
      <c r="J444" s="5"/>
      <c r="K444" s="5"/>
    </row>
    <row r="445" spans="1:17" x14ac:dyDescent="0.35">
      <c r="A445" s="2">
        <v>37</v>
      </c>
      <c r="B445" s="2">
        <v>1</v>
      </c>
      <c r="C445" s="4">
        <v>-1909.12602994895</v>
      </c>
      <c r="D445" s="4">
        <v>-1512.635033327723</v>
      </c>
      <c r="E445" s="4">
        <v>784.00430199104972</v>
      </c>
      <c r="F445" s="12"/>
      <c r="G445" s="5">
        <v>0.67469999999999997</v>
      </c>
      <c r="H445" s="5">
        <v>1226.5</v>
      </c>
      <c r="I445" s="5">
        <v>1.65012</v>
      </c>
      <c r="J445" s="5">
        <v>-0.84198099999999998</v>
      </c>
      <c r="K445" s="5">
        <v>2.2725499999999998</v>
      </c>
    </row>
    <row r="446" spans="1:17" x14ac:dyDescent="0.35">
      <c r="A446" s="2">
        <v>37</v>
      </c>
      <c r="B446" s="2">
        <v>2</v>
      </c>
      <c r="C446" s="4">
        <v>1131.250390099623</v>
      </c>
      <c r="D446" s="4">
        <v>-1778.629657943208</v>
      </c>
      <c r="E446" s="4">
        <v>276.22859994304957</v>
      </c>
      <c r="F446" s="12" t="s">
        <v>4</v>
      </c>
      <c r="G446" s="5"/>
      <c r="H446" s="5"/>
      <c r="I446" s="5"/>
      <c r="J446" s="5"/>
      <c r="K446" s="5"/>
    </row>
    <row r="447" spans="1:17" x14ac:dyDescent="0.35">
      <c r="A447" s="2">
        <v>37</v>
      </c>
      <c r="B447" s="2">
        <v>3</v>
      </c>
      <c r="C447" s="4">
        <v>263.61677617083319</v>
      </c>
      <c r="D447" s="4">
        <v>-659.48036918604225</v>
      </c>
      <c r="E447" s="4">
        <v>152.41361406827531</v>
      </c>
      <c r="F447" s="9"/>
      <c r="G447" s="5">
        <v>0.84609999999999996</v>
      </c>
      <c r="H447" s="5">
        <v>3254.95</v>
      </c>
      <c r="I447" s="5">
        <v>2.0930499999999999</v>
      </c>
      <c r="J447" s="5">
        <v>-0.48186099999999998</v>
      </c>
      <c r="K447" s="5">
        <v>0.78045100000000001</v>
      </c>
    </row>
    <row r="448" spans="1:17" x14ac:dyDescent="0.35">
      <c r="A448" s="2">
        <v>37</v>
      </c>
      <c r="B448" s="2">
        <v>4</v>
      </c>
      <c r="C448" s="4">
        <v>7921.384537074754</v>
      </c>
      <c r="D448" s="4">
        <v>-411.11599550209911</v>
      </c>
      <c r="E448" s="4">
        <v>-6.6235898059597256</v>
      </c>
    </row>
    <row r="449" spans="1:11" x14ac:dyDescent="0.35">
      <c r="A449" s="2">
        <v>37</v>
      </c>
      <c r="B449" s="2">
        <v>5</v>
      </c>
      <c r="C449" s="4">
        <v>1295.542380186992</v>
      </c>
      <c r="D449" s="4">
        <v>661.52406438223727</v>
      </c>
      <c r="E449" s="4">
        <v>-636.71530657447829</v>
      </c>
    </row>
    <row r="450" spans="1:11" x14ac:dyDescent="0.35">
      <c r="A450" s="2">
        <v>37</v>
      </c>
      <c r="B450" s="2">
        <v>6</v>
      </c>
      <c r="C450" s="4">
        <v>-4630.9991172318969</v>
      </c>
      <c r="D450" s="4">
        <v>-300.03033362842859</v>
      </c>
      <c r="E450" s="4">
        <v>-1950.58085525863</v>
      </c>
    </row>
    <row r="451" spans="1:11" x14ac:dyDescent="0.35">
      <c r="A451" s="2">
        <v>37</v>
      </c>
      <c r="B451" s="2">
        <v>7</v>
      </c>
      <c r="C451" s="4">
        <v>750.33920420471543</v>
      </c>
      <c r="D451" s="4">
        <v>2976.7969010525071</v>
      </c>
      <c r="E451" s="4">
        <v>67.283891442126972</v>
      </c>
    </row>
    <row r="452" spans="1:11" x14ac:dyDescent="0.35">
      <c r="A452" s="2">
        <v>37</v>
      </c>
      <c r="B452" s="2">
        <v>8</v>
      </c>
      <c r="C452" s="4">
        <v>320.07870218361512</v>
      </c>
      <c r="D452" s="4">
        <v>393.70129230408281</v>
      </c>
      <c r="E452" s="4">
        <v>-728.28181904357029</v>
      </c>
      <c r="F452" s="3" t="s">
        <v>2</v>
      </c>
      <c r="G452" s="11" t="s">
        <v>5</v>
      </c>
      <c r="H452" s="11" t="s">
        <v>6</v>
      </c>
      <c r="I452" s="11" t="s">
        <v>7</v>
      </c>
      <c r="J452" s="11" t="s">
        <v>8</v>
      </c>
      <c r="K452" s="11" t="s">
        <v>9</v>
      </c>
    </row>
    <row r="453" spans="1:11" x14ac:dyDescent="0.35">
      <c r="A453" s="2">
        <v>37</v>
      </c>
      <c r="B453" s="2">
        <v>9</v>
      </c>
      <c r="C453" s="4">
        <v>-2002.4164034802591</v>
      </c>
      <c r="D453" s="4">
        <v>-64.885623064141299</v>
      </c>
      <c r="E453" s="4">
        <v>-366.67082151659429</v>
      </c>
      <c r="F453" s="12"/>
      <c r="G453" s="5">
        <v>0.86029999999999995</v>
      </c>
      <c r="H453" s="5">
        <v>10061.200000000001</v>
      </c>
      <c r="I453" s="5">
        <v>2.5691700000000002</v>
      </c>
      <c r="J453" s="5">
        <v>0.785076</v>
      </c>
      <c r="K453" s="5">
        <v>0.47784399999999999</v>
      </c>
    </row>
    <row r="454" spans="1:11" x14ac:dyDescent="0.35">
      <c r="A454" s="2">
        <v>37</v>
      </c>
      <c r="B454" s="2">
        <v>10</v>
      </c>
      <c r="C454" s="4">
        <v>-3139.6704392599622</v>
      </c>
      <c r="D454" s="4">
        <v>694.75475491260261</v>
      </c>
      <c r="E454" s="4">
        <v>2408.941984754591</v>
      </c>
      <c r="F454" s="12" t="s">
        <v>3</v>
      </c>
      <c r="H454" s="5"/>
      <c r="I454" s="5"/>
      <c r="J454" s="5"/>
      <c r="K454" s="5"/>
    </row>
    <row r="455" spans="1:11" x14ac:dyDescent="0.35">
      <c r="F455" s="12"/>
      <c r="G455" s="5">
        <v>0.89059999999999995</v>
      </c>
      <c r="H455" s="5">
        <v>3517.91</v>
      </c>
      <c r="I455" s="5">
        <v>1.5721700000000001</v>
      </c>
      <c r="J455" s="5">
        <v>1.57511</v>
      </c>
      <c r="K455" s="5">
        <v>0.87935600000000003</v>
      </c>
    </row>
    <row r="456" spans="1:11" x14ac:dyDescent="0.35">
      <c r="A456" s="2">
        <v>38</v>
      </c>
      <c r="B456" s="2">
        <v>1</v>
      </c>
      <c r="C456" s="4">
        <v>1006.783214837724</v>
      </c>
      <c r="D456" s="4">
        <v>3606.6283800517272</v>
      </c>
      <c r="E456" s="4">
        <v>354.89112275271691</v>
      </c>
      <c r="F456" s="12" t="s">
        <v>4</v>
      </c>
      <c r="G456" s="5"/>
      <c r="H456" s="5"/>
      <c r="I456" s="5"/>
      <c r="J456" s="5"/>
      <c r="K456" s="5"/>
    </row>
    <row r="457" spans="1:11" x14ac:dyDescent="0.35">
      <c r="A457" s="2">
        <v>38</v>
      </c>
      <c r="B457" s="2">
        <v>2</v>
      </c>
      <c r="C457" s="4">
        <v>274.89445977387999</v>
      </c>
      <c r="D457" s="4">
        <v>-927.8430515965041</v>
      </c>
      <c r="E457" s="4">
        <v>-1856.9365349080911</v>
      </c>
      <c r="F457" s="9"/>
      <c r="G457" s="5">
        <v>0.62029999999999996</v>
      </c>
      <c r="H457" s="5">
        <v>867.12900000000002</v>
      </c>
      <c r="I457" s="5">
        <v>0.71459600000000001</v>
      </c>
      <c r="J457" s="5">
        <v>-3.8957199999999998</v>
      </c>
      <c r="K457" s="5">
        <v>2.7387100000000002</v>
      </c>
    </row>
    <row r="458" spans="1:11" x14ac:dyDescent="0.35">
      <c r="A458" s="2">
        <v>38</v>
      </c>
      <c r="B458" s="2">
        <v>3</v>
      </c>
      <c r="C458" s="4">
        <v>3548.0205870348582</v>
      </c>
      <c r="D458" s="4">
        <v>-66.537878112752594</v>
      </c>
      <c r="E458" s="4">
        <v>-828.13058251230734</v>
      </c>
    </row>
    <row r="459" spans="1:11" x14ac:dyDescent="0.35">
      <c r="A459" s="2">
        <v>38</v>
      </c>
      <c r="B459" s="2">
        <v>4</v>
      </c>
      <c r="C459" s="4">
        <v>-654.06243110240553</v>
      </c>
      <c r="D459" s="4">
        <v>-1140.0847848274</v>
      </c>
      <c r="E459" s="4">
        <v>-831.69606676294416</v>
      </c>
    </row>
    <row r="460" spans="1:11" x14ac:dyDescent="0.35">
      <c r="A460" s="2">
        <v>38</v>
      </c>
      <c r="B460" s="2">
        <v>5</v>
      </c>
      <c r="C460" s="4">
        <v>-3646.0965367895519</v>
      </c>
      <c r="D460" s="4">
        <v>-1727.735593591545</v>
      </c>
      <c r="E460" s="4">
        <v>208.93419679039971</v>
      </c>
    </row>
    <row r="461" spans="1:11" x14ac:dyDescent="0.35">
      <c r="A461" s="2">
        <v>38</v>
      </c>
      <c r="B461" s="2">
        <v>6</v>
      </c>
      <c r="C461" s="4">
        <v>-3842.0392947762689</v>
      </c>
      <c r="D461" s="4">
        <v>-19.520493538272689</v>
      </c>
      <c r="E461" s="4">
        <v>1099.058873227639</v>
      </c>
    </row>
    <row r="462" spans="1:11" x14ac:dyDescent="0.35">
      <c r="A462" s="2">
        <v>38</v>
      </c>
      <c r="B462" s="2">
        <v>7</v>
      </c>
      <c r="C462" s="4">
        <v>5210.7791519766452</v>
      </c>
      <c r="D462" s="4">
        <v>-1552.004155545957</v>
      </c>
      <c r="E462" s="4">
        <v>2353.1602120953798</v>
      </c>
      <c r="F462" s="3" t="s">
        <v>2</v>
      </c>
      <c r="G462" s="11" t="s">
        <v>5</v>
      </c>
      <c r="H462" s="11" t="s">
        <v>6</v>
      </c>
      <c r="I462" s="11" t="s">
        <v>7</v>
      </c>
      <c r="J462" s="11" t="s">
        <v>8</v>
      </c>
      <c r="K462" s="11" t="s">
        <v>9</v>
      </c>
    </row>
    <row r="463" spans="1:11" x14ac:dyDescent="0.35">
      <c r="A463" s="2">
        <v>38</v>
      </c>
      <c r="B463" s="2">
        <v>8</v>
      </c>
      <c r="C463" s="4">
        <v>5910.8214956928468</v>
      </c>
      <c r="D463" s="4">
        <v>423.52286665859458</v>
      </c>
      <c r="E463" s="4">
        <v>-747.31087019518486</v>
      </c>
      <c r="F463" s="12"/>
      <c r="G463" s="5">
        <v>0.84599999999999997</v>
      </c>
      <c r="H463" s="5">
        <v>2256.88</v>
      </c>
      <c r="I463" s="5">
        <v>1.6839299999999999</v>
      </c>
      <c r="J463" s="5">
        <v>0.25877699999999998</v>
      </c>
      <c r="K463" s="5">
        <v>2.26098</v>
      </c>
    </row>
    <row r="464" spans="1:11" x14ac:dyDescent="0.35">
      <c r="A464" s="2">
        <v>38</v>
      </c>
      <c r="B464" s="2">
        <v>9</v>
      </c>
      <c r="C464" s="4">
        <v>-2662.207440070857</v>
      </c>
      <c r="D464" s="4">
        <v>1025.3609841302441</v>
      </c>
      <c r="E464" s="4">
        <v>387.9094435078008</v>
      </c>
      <c r="F464" s="12" t="s">
        <v>3</v>
      </c>
      <c r="H464" s="5"/>
      <c r="I464" s="5"/>
      <c r="J464" s="5"/>
      <c r="K464" s="5"/>
    </row>
    <row r="465" spans="1:11" x14ac:dyDescent="0.35">
      <c r="A465" s="2">
        <v>38</v>
      </c>
      <c r="B465" s="2">
        <v>10</v>
      </c>
      <c r="C465" s="4">
        <v>-5146.8932065781783</v>
      </c>
      <c r="D465" s="4">
        <v>378.2137263718887</v>
      </c>
      <c r="E465" s="4">
        <v>-139.87979399529439</v>
      </c>
      <c r="F465" s="12"/>
      <c r="G465" s="5">
        <v>0.78239999999999998</v>
      </c>
      <c r="H465" s="5">
        <v>1622</v>
      </c>
      <c r="I465" s="5">
        <v>1.2390099999999999</v>
      </c>
      <c r="J465" s="5">
        <v>1.99264</v>
      </c>
      <c r="K465" s="5">
        <v>1.8514900000000001</v>
      </c>
    </row>
    <row r="466" spans="1:11" x14ac:dyDescent="0.35">
      <c r="F466" s="12" t="s">
        <v>4</v>
      </c>
      <c r="G466" s="5"/>
      <c r="H466" s="5"/>
      <c r="I466" s="5"/>
      <c r="J466" s="5"/>
      <c r="K466" s="5"/>
    </row>
    <row r="467" spans="1:11" x14ac:dyDescent="0.35">
      <c r="F467" s="9"/>
      <c r="G467" s="5">
        <v>0.73299999999999998</v>
      </c>
      <c r="H467" s="5">
        <v>2068.42</v>
      </c>
      <c r="I467" s="5"/>
      <c r="J467" s="5"/>
      <c r="K467" s="5"/>
    </row>
    <row r="468" spans="1:11" x14ac:dyDescent="0.35">
      <c r="A468" s="2">
        <v>39</v>
      </c>
      <c r="B468" s="2">
        <v>1</v>
      </c>
      <c r="C468" s="8">
        <v>8690.0466565167171</v>
      </c>
      <c r="D468" s="4">
        <v>687.73251147229519</v>
      </c>
      <c r="E468" s="4">
        <v>1224.586045888065</v>
      </c>
    </row>
    <row r="469" spans="1:11" x14ac:dyDescent="0.35">
      <c r="A469" s="2">
        <v>39</v>
      </c>
      <c r="B469" s="2">
        <v>2</v>
      </c>
      <c r="C469" s="8">
        <v>153.90709333617681</v>
      </c>
      <c r="D469" s="4">
        <v>2350.2138109078778</v>
      </c>
      <c r="E469" s="4">
        <v>-2011.483305966246</v>
      </c>
    </row>
    <row r="470" spans="1:11" x14ac:dyDescent="0.35">
      <c r="A470" s="2">
        <v>39</v>
      </c>
      <c r="B470" s="2">
        <v>3</v>
      </c>
      <c r="C470" s="8">
        <v>1474.2558285476739</v>
      </c>
      <c r="D470" s="4">
        <v>-1575.975125466324</v>
      </c>
      <c r="E470" s="4">
        <v>-268.08519482186807</v>
      </c>
    </row>
    <row r="471" spans="1:11" x14ac:dyDescent="0.35">
      <c r="A471" s="2">
        <v>39</v>
      </c>
      <c r="B471" s="2">
        <v>4</v>
      </c>
      <c r="C471" s="8">
        <v>-243.53656140107029</v>
      </c>
      <c r="D471" s="4">
        <v>69.671088892071836</v>
      </c>
      <c r="E471" s="4">
        <v>-571.0569841175494</v>
      </c>
    </row>
    <row r="472" spans="1:11" x14ac:dyDescent="0.35">
      <c r="A472" s="2">
        <v>39</v>
      </c>
      <c r="B472" s="2">
        <v>5</v>
      </c>
      <c r="C472" s="8">
        <v>-2363.1399146261242</v>
      </c>
      <c r="D472" s="4">
        <v>-1797.800429359281</v>
      </c>
      <c r="E472" s="4">
        <v>-232.33397471872351</v>
      </c>
      <c r="F472" s="3" t="s">
        <v>2</v>
      </c>
      <c r="G472" s="11" t="s">
        <v>5</v>
      </c>
      <c r="H472" s="11" t="s">
        <v>6</v>
      </c>
      <c r="I472" s="11" t="s">
        <v>7</v>
      </c>
      <c r="J472" s="11" t="s">
        <v>8</v>
      </c>
      <c r="K472" s="11" t="s">
        <v>9</v>
      </c>
    </row>
    <row r="473" spans="1:11" x14ac:dyDescent="0.35">
      <c r="A473" s="2">
        <v>39</v>
      </c>
      <c r="B473" s="2">
        <v>6</v>
      </c>
      <c r="C473" s="8">
        <v>-2436.4221911323998</v>
      </c>
      <c r="D473" s="4">
        <v>953.24873835253629</v>
      </c>
      <c r="E473" s="4">
        <v>44.981473762333373</v>
      </c>
      <c r="F473" s="12"/>
      <c r="G473" s="5">
        <v>0.84599999999999997</v>
      </c>
      <c r="H473" s="5">
        <v>2256.88</v>
      </c>
      <c r="I473" s="5">
        <v>1.6839299999999999</v>
      </c>
      <c r="J473" s="5">
        <v>0.25877699999999998</v>
      </c>
      <c r="K473" s="5">
        <v>2.26098</v>
      </c>
    </row>
    <row r="474" spans="1:11" x14ac:dyDescent="0.35">
      <c r="A474" s="2">
        <v>39</v>
      </c>
      <c r="B474" s="2">
        <v>7</v>
      </c>
      <c r="C474" s="8">
        <v>-297.73519895774808</v>
      </c>
      <c r="D474" s="4">
        <v>-2341.1539815591218</v>
      </c>
      <c r="E474" s="4">
        <v>-232.37053350747729</v>
      </c>
      <c r="F474" s="12" t="s">
        <v>3</v>
      </c>
      <c r="H474" s="5"/>
      <c r="I474" s="5"/>
      <c r="J474" s="5"/>
      <c r="K474" s="5"/>
    </row>
    <row r="475" spans="1:11" x14ac:dyDescent="0.35">
      <c r="A475" s="2">
        <v>39</v>
      </c>
      <c r="B475" s="2">
        <v>8</v>
      </c>
      <c r="C475" s="8">
        <v>484.88177949924398</v>
      </c>
      <c r="D475" s="4">
        <v>-671.55543974978241</v>
      </c>
      <c r="E475" s="4">
        <v>-105.88217142158381</v>
      </c>
      <c r="F475" s="12"/>
      <c r="G475" s="5">
        <v>0.78239999999999998</v>
      </c>
      <c r="H475" s="5">
        <v>1622</v>
      </c>
      <c r="I475" s="5">
        <v>1.2390099999999999</v>
      </c>
      <c r="J475" s="5">
        <v>1.99264</v>
      </c>
      <c r="K475" s="5">
        <v>1.8514900000000001</v>
      </c>
    </row>
    <row r="476" spans="1:11" x14ac:dyDescent="0.35">
      <c r="A476" s="2">
        <v>39</v>
      </c>
      <c r="B476" s="2">
        <v>9</v>
      </c>
      <c r="C476" s="8">
        <v>-4053.5621513949</v>
      </c>
      <c r="D476" s="4">
        <v>1141.4761313023339</v>
      </c>
      <c r="E476" s="4">
        <v>2836.5330083971298</v>
      </c>
      <c r="F476" s="12" t="s">
        <v>4</v>
      </c>
      <c r="G476" s="5"/>
      <c r="H476" s="5"/>
      <c r="I476" s="5"/>
      <c r="J476" s="5"/>
      <c r="K476" s="5"/>
    </row>
    <row r="477" spans="1:11" x14ac:dyDescent="0.35">
      <c r="A477" s="2">
        <v>39</v>
      </c>
      <c r="B477" s="2">
        <v>10</v>
      </c>
      <c r="C477" s="8">
        <v>-1408.6953403882021</v>
      </c>
      <c r="D477" s="4">
        <v>1184.1426952080219</v>
      </c>
      <c r="E477" s="4">
        <v>-684.88836349424764</v>
      </c>
      <c r="F477" s="9"/>
      <c r="G477" s="5">
        <v>0.73299999999999998</v>
      </c>
      <c r="H477" s="5">
        <v>2068.42</v>
      </c>
      <c r="I477" s="5">
        <v>0.36113600000000001</v>
      </c>
      <c r="J477" s="5">
        <v>0.359294</v>
      </c>
      <c r="K477" s="5">
        <f>1.28209</f>
        <v>1.28209</v>
      </c>
    </row>
    <row r="480" spans="1:11" x14ac:dyDescent="0.35">
      <c r="A480" s="2">
        <v>40</v>
      </c>
      <c r="B480" s="2">
        <v>1</v>
      </c>
      <c r="C480" s="4">
        <v>996.12704154797291</v>
      </c>
      <c r="D480" s="4">
        <v>2412.7822237201758</v>
      </c>
      <c r="E480" s="4">
        <v>1606.903337050747</v>
      </c>
    </row>
    <row r="481" spans="1:11" x14ac:dyDescent="0.35">
      <c r="A481" s="2">
        <v>40</v>
      </c>
      <c r="B481" s="2">
        <v>2</v>
      </c>
      <c r="C481" s="4">
        <v>-5177.4945771177127</v>
      </c>
      <c r="D481" s="4">
        <v>1461.345497859679</v>
      </c>
      <c r="E481" s="4">
        <v>-219.16390287616809</v>
      </c>
    </row>
    <row r="482" spans="1:11" x14ac:dyDescent="0.35">
      <c r="A482" s="2">
        <v>40</v>
      </c>
      <c r="B482" s="2">
        <v>3</v>
      </c>
      <c r="C482" s="4">
        <v>4043.8969559702041</v>
      </c>
      <c r="D482" s="4">
        <v>-58.616749708293959</v>
      </c>
      <c r="E482" s="4">
        <v>134.98484079265941</v>
      </c>
      <c r="F482" s="3" t="s">
        <v>2</v>
      </c>
      <c r="G482" s="11" t="s">
        <v>5</v>
      </c>
      <c r="H482" s="11" t="s">
        <v>6</v>
      </c>
      <c r="I482" s="11" t="s">
        <v>7</v>
      </c>
      <c r="J482" s="11" t="s">
        <v>8</v>
      </c>
      <c r="K482" s="11" t="s">
        <v>9</v>
      </c>
    </row>
    <row r="483" spans="1:11" x14ac:dyDescent="0.35">
      <c r="A483" s="2">
        <v>40</v>
      </c>
      <c r="B483" s="2">
        <v>4</v>
      </c>
      <c r="C483" s="4">
        <v>-6872.0931952314377</v>
      </c>
      <c r="D483" s="4">
        <v>-1455.133948344321</v>
      </c>
      <c r="E483" s="4">
        <v>-792.69854775918793</v>
      </c>
      <c r="F483" s="12"/>
      <c r="G483" s="5">
        <v>0.755</v>
      </c>
      <c r="H483" s="5">
        <v>6507.8</v>
      </c>
      <c r="I483" s="5">
        <v>2.0973799999999998</v>
      </c>
      <c r="J483" s="5">
        <v>0.58245999999999998</v>
      </c>
      <c r="K483" s="5">
        <v>0.82131900000000002</v>
      </c>
    </row>
    <row r="484" spans="1:11" x14ac:dyDescent="0.35">
      <c r="A484" s="2">
        <v>40</v>
      </c>
      <c r="B484" s="2">
        <v>5</v>
      </c>
      <c r="C484" s="4">
        <v>813.80925050485473</v>
      </c>
      <c r="D484" s="4">
        <v>-1891.089921522743</v>
      </c>
      <c r="E484" s="4">
        <v>2586.6592674992949</v>
      </c>
      <c r="F484" s="12" t="s">
        <v>3</v>
      </c>
      <c r="H484" s="5"/>
      <c r="I484" s="5"/>
      <c r="J484" s="5"/>
      <c r="K484" s="5"/>
    </row>
    <row r="485" spans="1:11" x14ac:dyDescent="0.35">
      <c r="A485" s="2">
        <v>40</v>
      </c>
      <c r="B485" s="2">
        <v>6</v>
      </c>
      <c r="C485" s="4">
        <v>2164.4574199341582</v>
      </c>
      <c r="D485" s="4">
        <v>-431.23621268236252</v>
      </c>
      <c r="E485" s="4">
        <v>-15.13734086524412</v>
      </c>
      <c r="F485" s="12"/>
      <c r="G485" s="5">
        <v>0.81440000000000001</v>
      </c>
      <c r="H485" s="5">
        <v>1192.17</v>
      </c>
      <c r="I485" s="5">
        <v>1.5909599999999999</v>
      </c>
      <c r="J485" s="5">
        <v>-0.272536</v>
      </c>
      <c r="K485" s="5">
        <v>2.7455799999999999</v>
      </c>
    </row>
    <row r="486" spans="1:11" x14ac:dyDescent="0.35">
      <c r="A486" s="2">
        <v>40</v>
      </c>
      <c r="B486" s="2">
        <v>7</v>
      </c>
      <c r="C486" s="4">
        <v>-1023.886447226645</v>
      </c>
      <c r="D486" s="4">
        <v>-781.16327771387182</v>
      </c>
      <c r="E486" s="4">
        <v>-583.92881681406834</v>
      </c>
      <c r="F486" s="12" t="s">
        <v>4</v>
      </c>
      <c r="G486" s="5"/>
      <c r="H486" s="5"/>
      <c r="I486" s="5"/>
      <c r="J486" s="5"/>
      <c r="K486" s="5"/>
    </row>
    <row r="487" spans="1:11" x14ac:dyDescent="0.35">
      <c r="A487" s="2">
        <v>40</v>
      </c>
      <c r="B487" s="2">
        <v>8</v>
      </c>
      <c r="C487" s="4">
        <v>7010.7974040955478</v>
      </c>
      <c r="D487" s="4">
        <v>-309.71581033619788</v>
      </c>
      <c r="E487" s="4">
        <v>-1681.5314628148019</v>
      </c>
      <c r="F487" s="9"/>
      <c r="G487" s="5">
        <v>0.79969999999999997</v>
      </c>
      <c r="H487" s="5">
        <v>1025.3800000000001</v>
      </c>
      <c r="I487" s="5">
        <v>0.62186799999999998</v>
      </c>
      <c r="J487" s="5">
        <v>-4.1706799999999999</v>
      </c>
      <c r="K487" s="5">
        <v>2.8056800000000002</v>
      </c>
    </row>
    <row r="488" spans="1:11" x14ac:dyDescent="0.35">
      <c r="A488" s="2">
        <v>40</v>
      </c>
      <c r="B488" s="2">
        <v>9</v>
      </c>
      <c r="C488" s="4">
        <v>-392.88399364021188</v>
      </c>
      <c r="D488" s="4">
        <v>760.00783519565698</v>
      </c>
      <c r="E488" s="4">
        <v>-1050.7119599862449</v>
      </c>
    </row>
    <row r="489" spans="1:11" x14ac:dyDescent="0.35">
      <c r="A489" s="2">
        <v>40</v>
      </c>
      <c r="B489" s="2">
        <v>10</v>
      </c>
      <c r="C489" s="4">
        <v>-1562.729858836823</v>
      </c>
      <c r="D489" s="4">
        <v>292.82036353219871</v>
      </c>
      <c r="E489" s="4">
        <v>14.62458577306527</v>
      </c>
    </row>
    <row r="492" spans="1:11" x14ac:dyDescent="0.35">
      <c r="F492" s="3" t="s">
        <v>2</v>
      </c>
      <c r="G492" s="11" t="s">
        <v>5</v>
      </c>
      <c r="H492" s="11" t="s">
        <v>6</v>
      </c>
      <c r="I492" s="11" t="s">
        <v>7</v>
      </c>
      <c r="J492" s="11" t="s">
        <v>8</v>
      </c>
      <c r="K492" s="11" t="s">
        <v>9</v>
      </c>
    </row>
    <row r="493" spans="1:11" x14ac:dyDescent="0.35">
      <c r="A493" s="2">
        <v>41</v>
      </c>
      <c r="B493" s="2">
        <v>1</v>
      </c>
      <c r="C493" s="4">
        <v>-1082.706033526815</v>
      </c>
      <c r="D493" s="4">
        <v>-1579.234299774025</v>
      </c>
      <c r="E493" s="4">
        <v>-1104.35335556988</v>
      </c>
      <c r="F493" s="12"/>
      <c r="G493" s="5">
        <v>0.76449999999999996</v>
      </c>
      <c r="H493" s="5" t="s">
        <v>24</v>
      </c>
      <c r="I493" s="5" t="s">
        <v>25</v>
      </c>
      <c r="J493" s="5">
        <f>-3.2867*10^8</f>
        <v>-328670000</v>
      </c>
      <c r="K493" s="5">
        <v>1.0289200000000001</v>
      </c>
    </row>
    <row r="494" spans="1:11" x14ac:dyDescent="0.35">
      <c r="A494" s="2">
        <v>41</v>
      </c>
      <c r="B494" s="2">
        <v>2</v>
      </c>
      <c r="C494" s="4">
        <v>-609.78677976563711</v>
      </c>
      <c r="D494" s="4">
        <v>-632.67958515628993</v>
      </c>
      <c r="E494" s="4">
        <v>-557.61595458876116</v>
      </c>
      <c r="F494" s="12" t="s">
        <v>3</v>
      </c>
      <c r="H494" s="5"/>
      <c r="I494" s="5"/>
      <c r="J494" s="5"/>
      <c r="K494" s="5"/>
    </row>
    <row r="495" spans="1:11" x14ac:dyDescent="0.35">
      <c r="A495" s="2">
        <v>41</v>
      </c>
      <c r="B495" s="2">
        <v>3</v>
      </c>
      <c r="C495" s="4">
        <v>5740.1550130563583</v>
      </c>
      <c r="D495" s="4">
        <v>-1217.9650547182209</v>
      </c>
      <c r="E495" s="4">
        <v>-877.32811617323785</v>
      </c>
      <c r="F495" s="12"/>
      <c r="G495" s="5">
        <v>0.73509999999999998</v>
      </c>
      <c r="H495" s="5">
        <v>5376.1</v>
      </c>
      <c r="I495" s="5">
        <v>2.4447399999999999</v>
      </c>
      <c r="J495" s="5">
        <v>1.39825E-2</v>
      </c>
      <c r="K495" s="5">
        <v>1.6768000000000001</v>
      </c>
    </row>
    <row r="496" spans="1:11" x14ac:dyDescent="0.35">
      <c r="A496" s="2">
        <v>41</v>
      </c>
      <c r="B496" s="2">
        <v>4</v>
      </c>
      <c r="C496" s="4">
        <v>-2263.5089815989868</v>
      </c>
      <c r="D496" s="4">
        <v>-1367.359604833151</v>
      </c>
      <c r="E496" s="4">
        <v>-125.1494446977616</v>
      </c>
      <c r="F496" s="12" t="s">
        <v>4</v>
      </c>
      <c r="G496" s="5"/>
      <c r="H496" s="5"/>
      <c r="I496" s="5"/>
      <c r="J496" s="5"/>
      <c r="K496" s="5"/>
    </row>
    <row r="497" spans="1:11" x14ac:dyDescent="0.35">
      <c r="A497" s="2">
        <v>41</v>
      </c>
      <c r="B497" s="2">
        <v>5</v>
      </c>
      <c r="C497" s="4">
        <v>-777.61169293725186</v>
      </c>
      <c r="D497" s="4">
        <v>3147.7380494079312</v>
      </c>
      <c r="E497" s="4">
        <v>396.7270861619146</v>
      </c>
      <c r="F497" s="9"/>
      <c r="G497" s="5">
        <v>0.79200000000000004</v>
      </c>
      <c r="H497" s="5" t="s">
        <v>26</v>
      </c>
      <c r="I497" s="5">
        <v>3.1415899999999999</v>
      </c>
      <c r="J497" s="5">
        <v>1</v>
      </c>
      <c r="K497" s="5">
        <f>2.45245</f>
        <v>2.4524499999999998</v>
      </c>
    </row>
    <row r="498" spans="1:11" x14ac:dyDescent="0.35">
      <c r="A498" s="2">
        <v>41</v>
      </c>
      <c r="B498" s="2">
        <v>6</v>
      </c>
      <c r="C498" s="4">
        <v>887.97907548109322</v>
      </c>
      <c r="D498" s="4">
        <v>775.28042240808293</v>
      </c>
      <c r="E498" s="4">
        <v>-293.63922835416219</v>
      </c>
    </row>
    <row r="499" spans="1:11" x14ac:dyDescent="0.35">
      <c r="A499" s="2">
        <v>41</v>
      </c>
      <c r="B499" s="2">
        <v>7</v>
      </c>
      <c r="C499" s="4">
        <v>-213.13094625268749</v>
      </c>
      <c r="D499" s="4">
        <v>-137.2176846107167</v>
      </c>
      <c r="E499" s="4">
        <v>-359.8996699096125</v>
      </c>
    </row>
    <row r="500" spans="1:11" x14ac:dyDescent="0.35">
      <c r="A500" s="2">
        <v>41</v>
      </c>
      <c r="B500" s="2">
        <v>8</v>
      </c>
      <c r="C500" s="4">
        <v>1430.005914780186</v>
      </c>
      <c r="D500" s="4">
        <v>-710.11388009738744</v>
      </c>
      <c r="E500" s="4">
        <v>3642.3506573639579</v>
      </c>
    </row>
    <row r="501" spans="1:11" x14ac:dyDescent="0.35">
      <c r="A501" s="2">
        <v>41</v>
      </c>
      <c r="B501" s="2">
        <v>9</v>
      </c>
      <c r="C501" s="4">
        <v>1253.237685649324</v>
      </c>
      <c r="D501" s="4">
        <v>2146.734911687417</v>
      </c>
      <c r="E501" s="4">
        <v>-827.06421623875019</v>
      </c>
    </row>
    <row r="502" spans="1:11" x14ac:dyDescent="0.35">
      <c r="A502" s="2">
        <v>41</v>
      </c>
      <c r="B502" s="2">
        <v>10</v>
      </c>
      <c r="C502" s="4">
        <v>-4364.6332548854944</v>
      </c>
      <c r="D502" s="4">
        <v>-425.18327431376298</v>
      </c>
      <c r="E502" s="4">
        <v>105.9722420064636</v>
      </c>
      <c r="F502" s="3" t="s">
        <v>2</v>
      </c>
      <c r="G502" s="11" t="s">
        <v>5</v>
      </c>
      <c r="H502" s="11" t="s">
        <v>6</v>
      </c>
      <c r="I502" s="11" t="s">
        <v>7</v>
      </c>
      <c r="J502" s="11" t="s">
        <v>8</v>
      </c>
      <c r="K502" s="11" t="s">
        <v>9</v>
      </c>
    </row>
    <row r="503" spans="1:11" x14ac:dyDescent="0.35">
      <c r="F503" s="12"/>
      <c r="G503" s="5">
        <v>0.877</v>
      </c>
      <c r="H503" s="5">
        <v>6495.5</v>
      </c>
      <c r="I503" s="5">
        <v>0.96601999999999999</v>
      </c>
      <c r="J503" s="5">
        <v>2.9932599999999998</v>
      </c>
      <c r="K503" s="5">
        <v>1.61721</v>
      </c>
    </row>
    <row r="504" spans="1:11" x14ac:dyDescent="0.35">
      <c r="F504" s="12" t="s">
        <v>3</v>
      </c>
      <c r="H504" s="5"/>
      <c r="I504" s="5"/>
      <c r="J504" s="5"/>
      <c r="K504" s="5"/>
    </row>
    <row r="505" spans="1:11" x14ac:dyDescent="0.35">
      <c r="A505" s="2">
        <v>42</v>
      </c>
      <c r="B505" s="2">
        <v>1</v>
      </c>
      <c r="C505" s="4">
        <v>5136.8444707902481</v>
      </c>
      <c r="D505" s="4">
        <v>-1649.5011190987061</v>
      </c>
      <c r="E505" s="4">
        <v>-1614.322581780312</v>
      </c>
      <c r="F505" s="12"/>
      <c r="G505" s="5">
        <v>0.70760000000000001</v>
      </c>
      <c r="H505" s="5" t="s">
        <v>27</v>
      </c>
      <c r="I505" s="5">
        <v>3.1415899999999999</v>
      </c>
      <c r="J505" s="5">
        <f>-6.5045*10^-9</f>
        <v>-6.5045000000000004E-9</v>
      </c>
      <c r="K505" s="5">
        <v>2.27251</v>
      </c>
    </row>
    <row r="506" spans="1:11" x14ac:dyDescent="0.35">
      <c r="A506" s="2">
        <v>42</v>
      </c>
      <c r="B506" s="2">
        <v>2</v>
      </c>
      <c r="C506" s="4">
        <v>-713.08649476990774</v>
      </c>
      <c r="D506" s="4">
        <v>1994.310849459614</v>
      </c>
      <c r="E506" s="4">
        <v>-1739.976183974984</v>
      </c>
      <c r="F506" s="12" t="s">
        <v>4</v>
      </c>
      <c r="G506" s="5"/>
      <c r="H506" s="5"/>
      <c r="I506" s="5"/>
      <c r="J506" s="5"/>
      <c r="K506" s="5"/>
    </row>
    <row r="507" spans="1:11" x14ac:dyDescent="0.35">
      <c r="A507" s="2">
        <v>42</v>
      </c>
      <c r="B507" s="2">
        <v>3</v>
      </c>
      <c r="C507" s="4">
        <v>311.12848555572782</v>
      </c>
      <c r="D507" s="4">
        <v>-1154.789719970749</v>
      </c>
      <c r="E507" s="4">
        <v>591.20314470071207</v>
      </c>
      <c r="F507" s="9"/>
      <c r="G507" s="5">
        <v>0.79800000000000004</v>
      </c>
      <c r="H507" s="5" t="s">
        <v>28</v>
      </c>
      <c r="I507" s="5" t="s">
        <v>29</v>
      </c>
      <c r="J507" s="5">
        <f>-3.9562*10^9</f>
        <v>-3956200000</v>
      </c>
      <c r="K507" s="5">
        <f>1.2804</f>
        <v>1.2804</v>
      </c>
    </row>
    <row r="508" spans="1:11" x14ac:dyDescent="0.35">
      <c r="A508" s="2">
        <v>42</v>
      </c>
      <c r="B508" s="2">
        <v>4</v>
      </c>
      <c r="C508" s="4">
        <v>666.52326295415105</v>
      </c>
      <c r="D508" s="4">
        <v>93.759515865862511</v>
      </c>
      <c r="E508" s="4">
        <v>655.62165775406186</v>
      </c>
    </row>
    <row r="509" spans="1:11" x14ac:dyDescent="0.35">
      <c r="A509" s="2">
        <v>42</v>
      </c>
      <c r="B509" s="2">
        <v>5</v>
      </c>
      <c r="C509" s="4">
        <v>-1306.070326870054</v>
      </c>
      <c r="D509" s="4">
        <v>489.90726480273253</v>
      </c>
      <c r="E509" s="4">
        <v>2512.7388440384188</v>
      </c>
    </row>
    <row r="510" spans="1:11" x14ac:dyDescent="0.35">
      <c r="A510" s="2">
        <v>42</v>
      </c>
      <c r="B510" s="2">
        <v>6</v>
      </c>
      <c r="C510" s="4">
        <v>2631.6835111688201</v>
      </c>
      <c r="D510" s="4">
        <v>-366.74092343446853</v>
      </c>
      <c r="E510" s="4">
        <v>1314.206683613309</v>
      </c>
    </row>
    <row r="511" spans="1:11" x14ac:dyDescent="0.35">
      <c r="A511" s="2">
        <v>42</v>
      </c>
      <c r="B511" s="2">
        <v>7</v>
      </c>
      <c r="C511" s="4">
        <v>-4282.3142200645307</v>
      </c>
      <c r="D511" s="4">
        <v>-1362.620052917775</v>
      </c>
      <c r="E511" s="4">
        <v>-485.61089286737661</v>
      </c>
    </row>
    <row r="512" spans="1:11" x14ac:dyDescent="0.35">
      <c r="A512" s="2">
        <v>42</v>
      </c>
      <c r="B512" s="2">
        <v>8</v>
      </c>
      <c r="C512" s="4">
        <v>1990.258831233084</v>
      </c>
      <c r="D512" s="4">
        <v>2187.0106472088419</v>
      </c>
      <c r="E512" s="4">
        <v>379.03871343793298</v>
      </c>
      <c r="F512" s="3" t="s">
        <v>2</v>
      </c>
      <c r="G512" s="11" t="s">
        <v>5</v>
      </c>
      <c r="H512" s="11" t="s">
        <v>6</v>
      </c>
      <c r="I512" s="11" t="s">
        <v>7</v>
      </c>
      <c r="J512" s="11" t="s">
        <v>8</v>
      </c>
      <c r="K512" s="11" t="s">
        <v>9</v>
      </c>
    </row>
    <row r="513" spans="1:11" x14ac:dyDescent="0.35">
      <c r="A513" s="2">
        <v>42</v>
      </c>
      <c r="B513" s="2">
        <v>9</v>
      </c>
      <c r="C513" s="4">
        <v>-2510.6215630374891</v>
      </c>
      <c r="D513" s="4">
        <v>-1985.5600610438801</v>
      </c>
      <c r="E513" s="4">
        <v>-539.64530688244747</v>
      </c>
      <c r="F513" s="12"/>
      <c r="G513" s="5">
        <v>0.84179999999999999</v>
      </c>
      <c r="H513" s="5" t="s">
        <v>30</v>
      </c>
      <c r="I513" s="5">
        <v>3.1415899999999999</v>
      </c>
      <c r="J513" s="5">
        <v>1</v>
      </c>
      <c r="K513" s="5">
        <v>2.14541</v>
      </c>
    </row>
    <row r="514" spans="1:11" x14ac:dyDescent="0.35">
      <c r="A514" s="2">
        <v>42</v>
      </c>
      <c r="B514" s="2">
        <v>10</v>
      </c>
      <c r="C514" s="4">
        <v>-1924.3459569597339</v>
      </c>
      <c r="D514" s="4">
        <v>1754.223599128582</v>
      </c>
      <c r="E514" s="4">
        <v>-1073.254078039068</v>
      </c>
      <c r="F514" s="12" t="s">
        <v>3</v>
      </c>
      <c r="H514" s="5"/>
      <c r="I514" s="5"/>
      <c r="J514" s="5"/>
      <c r="K514" s="5"/>
    </row>
    <row r="515" spans="1:11" x14ac:dyDescent="0.35">
      <c r="F515" s="12"/>
      <c r="G515" s="5">
        <v>0.73099999999999998</v>
      </c>
      <c r="H515" s="5">
        <v>2382.46</v>
      </c>
      <c r="I515" s="5">
        <v>2.8258299999999998</v>
      </c>
      <c r="J515" s="5">
        <v>-0.27734599999999998</v>
      </c>
      <c r="K515" s="5">
        <v>2.3902299999999999</v>
      </c>
    </row>
    <row r="516" spans="1:11" x14ac:dyDescent="0.35">
      <c r="F516" s="12" t="s">
        <v>4</v>
      </c>
      <c r="G516" s="5"/>
      <c r="H516" s="5"/>
      <c r="I516" s="5"/>
      <c r="J516" s="5"/>
      <c r="K516" s="5"/>
    </row>
    <row r="517" spans="1:11" x14ac:dyDescent="0.35">
      <c r="A517" s="2">
        <v>43</v>
      </c>
      <c r="B517" s="2">
        <v>1</v>
      </c>
      <c r="C517" s="4">
        <v>11274.88872797729</v>
      </c>
      <c r="D517" s="4">
        <v>8585.8980811517085</v>
      </c>
      <c r="E517" s="4">
        <v>-5200.0219696610848</v>
      </c>
      <c r="F517" s="9"/>
      <c r="G517" s="5">
        <v>0.78800000000000003</v>
      </c>
      <c r="H517" s="5">
        <v>1496.88</v>
      </c>
      <c r="I517" s="5">
        <v>1.73587</v>
      </c>
      <c r="J517" s="5">
        <v>-1.1983999999999999</v>
      </c>
      <c r="K517" s="5">
        <v>2.5996600000000001</v>
      </c>
    </row>
    <row r="518" spans="1:11" x14ac:dyDescent="0.35">
      <c r="A518" s="2">
        <v>43</v>
      </c>
      <c r="B518" s="2">
        <v>2</v>
      </c>
      <c r="C518" s="4">
        <v>10424.930001649789</v>
      </c>
      <c r="D518" s="4">
        <v>4135.0632841858896</v>
      </c>
      <c r="E518" s="4">
        <v>5369.1255441837966</v>
      </c>
    </row>
    <row r="519" spans="1:11" x14ac:dyDescent="0.35">
      <c r="A519" s="2">
        <v>43</v>
      </c>
      <c r="B519" s="2">
        <v>3</v>
      </c>
      <c r="C519" s="4">
        <v>-7427.6291014390436</v>
      </c>
      <c r="D519" s="4">
        <v>880.73890393491797</v>
      </c>
      <c r="E519" s="4">
        <v>651.53942208086744</v>
      </c>
    </row>
    <row r="520" spans="1:11" x14ac:dyDescent="0.35">
      <c r="A520" s="2">
        <v>43</v>
      </c>
      <c r="B520" s="2">
        <v>4</v>
      </c>
      <c r="C520" s="4">
        <v>-9817.8001771346771</v>
      </c>
      <c r="D520" s="4">
        <v>368.83282860324778</v>
      </c>
      <c r="E520" s="4">
        <v>-2485.4843925441342</v>
      </c>
    </row>
    <row r="521" spans="1:11" x14ac:dyDescent="0.35">
      <c r="A521" s="2">
        <v>43</v>
      </c>
      <c r="B521" s="2">
        <v>5</v>
      </c>
      <c r="C521" s="4">
        <v>4248.5317288806273</v>
      </c>
      <c r="D521" s="4">
        <v>-6388.7794976095211</v>
      </c>
      <c r="E521" s="4">
        <v>-21.19943083694308</v>
      </c>
    </row>
    <row r="522" spans="1:11" x14ac:dyDescent="0.35">
      <c r="A522" s="2">
        <v>43</v>
      </c>
      <c r="B522" s="2">
        <v>6</v>
      </c>
      <c r="C522" s="4">
        <v>-407.84728030784549</v>
      </c>
      <c r="D522" s="4">
        <v>-4444.5744828440529</v>
      </c>
      <c r="E522" s="4">
        <v>-813.0871735211465</v>
      </c>
      <c r="F522" s="3" t="s">
        <v>2</v>
      </c>
      <c r="G522" s="11" t="s">
        <v>5</v>
      </c>
      <c r="H522" s="11" t="s">
        <v>6</v>
      </c>
      <c r="I522" s="11" t="s">
        <v>7</v>
      </c>
      <c r="J522" s="11" t="s">
        <v>8</v>
      </c>
      <c r="K522" s="11" t="s">
        <v>9</v>
      </c>
    </row>
    <row r="523" spans="1:11" x14ac:dyDescent="0.35">
      <c r="A523" s="2">
        <v>43</v>
      </c>
      <c r="B523" s="2">
        <v>7</v>
      </c>
      <c r="C523" s="4">
        <v>4110.0643522253195</v>
      </c>
      <c r="D523" s="4">
        <v>-6539.5801487705339</v>
      </c>
      <c r="E523" s="4">
        <v>90.868007765050734</v>
      </c>
      <c r="F523" s="12"/>
      <c r="G523" s="5">
        <v>0.79290000000000005</v>
      </c>
      <c r="H523" s="5" t="s">
        <v>31</v>
      </c>
      <c r="I523" s="5">
        <v>3.1415899999999999</v>
      </c>
      <c r="J523" s="5">
        <v>1</v>
      </c>
      <c r="K523" s="5">
        <v>2.1509200000000002</v>
      </c>
    </row>
    <row r="524" spans="1:11" x14ac:dyDescent="0.35">
      <c r="A524" s="2">
        <v>43</v>
      </c>
      <c r="B524" s="2">
        <v>8</v>
      </c>
      <c r="C524" s="4">
        <v>-2909.816832143129</v>
      </c>
      <c r="D524" s="4">
        <v>-3546.5965901115778</v>
      </c>
      <c r="E524" s="4">
        <v>-731.01046045828332</v>
      </c>
      <c r="F524" s="12" t="s">
        <v>3</v>
      </c>
      <c r="H524" s="5"/>
      <c r="I524" s="5"/>
      <c r="J524" s="5"/>
      <c r="K524" s="5"/>
    </row>
    <row r="525" spans="1:11" x14ac:dyDescent="0.35">
      <c r="A525" s="2">
        <v>43</v>
      </c>
      <c r="B525" s="2">
        <v>9</v>
      </c>
      <c r="C525" s="4">
        <v>-141.1830399333914</v>
      </c>
      <c r="D525" s="4">
        <v>-2481.2453857999221</v>
      </c>
      <c r="E525" s="4">
        <v>1054.749124068836</v>
      </c>
      <c r="F525" s="12"/>
      <c r="G525" s="5">
        <v>0.75429999999999997</v>
      </c>
      <c r="H525" s="5">
        <v>3317.84</v>
      </c>
      <c r="I525" s="5">
        <v>1.2467900000000001</v>
      </c>
      <c r="J525" s="5">
        <v>-1.76264</v>
      </c>
      <c r="K525" s="5">
        <v>2.2865700000000002</v>
      </c>
    </row>
    <row r="526" spans="1:11" x14ac:dyDescent="0.35">
      <c r="A526" s="2">
        <v>43</v>
      </c>
      <c r="B526" s="2">
        <v>10</v>
      </c>
      <c r="C526" s="4">
        <v>-9354.1383797741091</v>
      </c>
      <c r="D526" s="4">
        <v>9430.2430072602983</v>
      </c>
      <c r="E526" s="4">
        <v>2084.52132892289</v>
      </c>
      <c r="F526" s="12" t="s">
        <v>4</v>
      </c>
      <c r="G526" s="5"/>
      <c r="H526" s="5"/>
      <c r="I526" s="5"/>
      <c r="J526" s="5"/>
      <c r="K526" s="5"/>
    </row>
    <row r="527" spans="1:11" x14ac:dyDescent="0.35">
      <c r="F527" s="9"/>
      <c r="G527" s="5">
        <v>0.82140000000000002</v>
      </c>
      <c r="H527" s="5" t="s">
        <v>32</v>
      </c>
      <c r="I527" s="5" t="s">
        <v>33</v>
      </c>
      <c r="J527" s="5">
        <f>-4.7333*10^8</f>
        <v>-473330000</v>
      </c>
      <c r="K527" s="5">
        <v>2.79827</v>
      </c>
    </row>
    <row r="529" spans="1:11" x14ac:dyDescent="0.35">
      <c r="A529" s="2">
        <v>44</v>
      </c>
      <c r="B529" s="2">
        <v>1</v>
      </c>
      <c r="C529" s="4">
        <v>-3227.8283723935529</v>
      </c>
      <c r="D529" s="4">
        <v>3215.734032036416</v>
      </c>
      <c r="E529" s="4">
        <v>-305.31921890891311</v>
      </c>
    </row>
    <row r="530" spans="1:11" x14ac:dyDescent="0.35">
      <c r="A530" s="2">
        <v>44</v>
      </c>
      <c r="B530" s="2">
        <v>2</v>
      </c>
      <c r="C530" s="4">
        <v>-711.32484484100064</v>
      </c>
      <c r="D530" s="4">
        <v>-806.35517908778309</v>
      </c>
      <c r="E530" s="4">
        <v>-891.3524582603369</v>
      </c>
    </row>
    <row r="531" spans="1:11" x14ac:dyDescent="0.35">
      <c r="A531" s="2">
        <v>44</v>
      </c>
      <c r="B531" s="2">
        <v>3</v>
      </c>
      <c r="C531" s="4">
        <v>-426.81369913059012</v>
      </c>
      <c r="D531" s="4">
        <v>1470.0038630429599</v>
      </c>
      <c r="E531" s="4">
        <v>-251.33692213358611</v>
      </c>
    </row>
    <row r="532" spans="1:11" x14ac:dyDescent="0.35">
      <c r="A532" s="2">
        <v>44</v>
      </c>
      <c r="B532" s="2">
        <v>4</v>
      </c>
      <c r="C532" s="4">
        <v>-2671.8494897406449</v>
      </c>
      <c r="D532" s="4">
        <v>-1836.2389901676811</v>
      </c>
      <c r="E532" s="4">
        <v>1057.3577186478719</v>
      </c>
      <c r="F532" s="3" t="s">
        <v>2</v>
      </c>
      <c r="G532" s="11" t="s">
        <v>5</v>
      </c>
      <c r="H532" s="11" t="s">
        <v>6</v>
      </c>
      <c r="I532" s="11" t="s">
        <v>7</v>
      </c>
      <c r="J532" s="11" t="s">
        <v>8</v>
      </c>
      <c r="K532" s="11" t="s">
        <v>9</v>
      </c>
    </row>
    <row r="533" spans="1:11" x14ac:dyDescent="0.35">
      <c r="A533" s="2">
        <v>44</v>
      </c>
      <c r="B533" s="2">
        <v>5</v>
      </c>
      <c r="C533" s="4">
        <v>6793.5691874209724</v>
      </c>
      <c r="D533" s="4">
        <v>686.12272096770266</v>
      </c>
      <c r="E533" s="4">
        <v>2567.3532028209602</v>
      </c>
      <c r="F533" s="12"/>
      <c r="G533" s="5">
        <v>0.79490000000000005</v>
      </c>
      <c r="H533" s="5" t="s">
        <v>34</v>
      </c>
      <c r="I533" s="5">
        <v>3.1415899999999999</v>
      </c>
      <c r="J533" s="5">
        <v>0.99999899999999997</v>
      </c>
      <c r="K533" s="5">
        <v>2.15646</v>
      </c>
    </row>
    <row r="534" spans="1:11" x14ac:dyDescent="0.35">
      <c r="A534" s="2">
        <v>44</v>
      </c>
      <c r="B534" s="2">
        <v>6</v>
      </c>
      <c r="C534" s="4">
        <v>-252.2648803005155</v>
      </c>
      <c r="D534" s="4">
        <v>-546.92353869814485</v>
      </c>
      <c r="E534" s="4">
        <v>596.29604110363402</v>
      </c>
      <c r="F534" s="12" t="s">
        <v>3</v>
      </c>
      <c r="H534" s="5"/>
      <c r="I534" s="5"/>
      <c r="J534" s="5"/>
      <c r="K534" s="5"/>
    </row>
    <row r="535" spans="1:11" x14ac:dyDescent="0.35">
      <c r="A535" s="2">
        <v>44</v>
      </c>
      <c r="B535" s="2">
        <v>7</v>
      </c>
      <c r="C535" s="4">
        <v>5037.9235230416398</v>
      </c>
      <c r="D535" s="4">
        <v>-447.75532424360608</v>
      </c>
      <c r="E535" s="4">
        <v>-2554.3703802508999</v>
      </c>
      <c r="F535" s="12"/>
      <c r="G535" s="5">
        <v>0.73499999999999999</v>
      </c>
      <c r="H535" s="5" t="s">
        <v>35</v>
      </c>
      <c r="I535" s="5">
        <v>1.7344299999999999</v>
      </c>
      <c r="J535" s="5">
        <v>-1.4585399999999999</v>
      </c>
      <c r="K535" s="5" t="s">
        <v>36</v>
      </c>
    </row>
    <row r="536" spans="1:11" x14ac:dyDescent="0.35">
      <c r="A536" s="2">
        <v>44</v>
      </c>
      <c r="B536" s="2">
        <v>8</v>
      </c>
      <c r="C536" s="4">
        <v>-533.80606571506326</v>
      </c>
      <c r="D536" s="4">
        <v>-568.91611342511214</v>
      </c>
      <c r="E536" s="4">
        <v>-865.75701622401039</v>
      </c>
      <c r="F536" s="12" t="s">
        <v>4</v>
      </c>
      <c r="G536" s="5"/>
      <c r="H536" s="5"/>
      <c r="I536" s="5"/>
      <c r="J536" s="5"/>
      <c r="K536" s="5"/>
    </row>
    <row r="537" spans="1:11" x14ac:dyDescent="0.35">
      <c r="A537" s="2">
        <v>44</v>
      </c>
      <c r="B537" s="2">
        <v>9</v>
      </c>
      <c r="C537" s="4">
        <v>-3891.4240205718261</v>
      </c>
      <c r="D537" s="4">
        <v>-674.11979202104749</v>
      </c>
      <c r="E537" s="4">
        <v>982.99349893144245</v>
      </c>
      <c r="F537" s="9"/>
      <c r="G537" s="5">
        <v>0.68559999999999999</v>
      </c>
      <c r="H537" s="5">
        <v>5503.22</v>
      </c>
      <c r="I537" s="5">
        <v>2.1691600000000002</v>
      </c>
      <c r="J537" s="5">
        <v>1.39045</v>
      </c>
      <c r="K537" s="5">
        <f>0.66381</f>
        <v>0.66381000000000001</v>
      </c>
    </row>
    <row r="538" spans="1:11" x14ac:dyDescent="0.35">
      <c r="A538" s="2">
        <v>44</v>
      </c>
      <c r="B538" s="2">
        <v>10</v>
      </c>
      <c r="C538" s="4">
        <v>-116.181337769441</v>
      </c>
      <c r="D538" s="4">
        <v>-491.55167840360099</v>
      </c>
      <c r="E538" s="4">
        <v>-335.86446572638738</v>
      </c>
    </row>
    <row r="541" spans="1:11" x14ac:dyDescent="0.35">
      <c r="A541" s="2">
        <v>45</v>
      </c>
      <c r="B541" s="2">
        <v>1</v>
      </c>
      <c r="C541" s="4">
        <v>-4666.9528964071133</v>
      </c>
      <c r="D541" s="4">
        <v>-538.80359627075484</v>
      </c>
      <c r="E541" s="4">
        <v>-410.9822788517908</v>
      </c>
    </row>
    <row r="542" spans="1:11" x14ac:dyDescent="0.35">
      <c r="A542" s="2">
        <v>45</v>
      </c>
      <c r="B542" s="2">
        <v>2</v>
      </c>
      <c r="C542" s="4">
        <v>-4165.8997595790088</v>
      </c>
      <c r="D542" s="4">
        <v>-1568.7942024030331</v>
      </c>
      <c r="E542" s="4">
        <v>-1154.6743901351001</v>
      </c>
      <c r="F542" s="3" t="s">
        <v>2</v>
      </c>
      <c r="G542" s="11" t="s">
        <v>5</v>
      </c>
      <c r="H542" s="11" t="s">
        <v>6</v>
      </c>
      <c r="I542" s="11" t="s">
        <v>7</v>
      </c>
      <c r="J542" s="11" t="s">
        <v>8</v>
      </c>
      <c r="K542" s="11" t="s">
        <v>9</v>
      </c>
    </row>
    <row r="543" spans="1:11" x14ac:dyDescent="0.35">
      <c r="A543" s="2">
        <v>45</v>
      </c>
      <c r="B543" s="2">
        <v>3</v>
      </c>
      <c r="C543" s="4">
        <v>-2070.900975056401</v>
      </c>
      <c r="D543" s="4">
        <v>397.29598548662409</v>
      </c>
      <c r="E543" s="4">
        <v>975.86440032201551</v>
      </c>
      <c r="F543" s="12"/>
      <c r="G543" s="5">
        <v>0.89129999999999998</v>
      </c>
      <c r="H543" s="5">
        <v>12060.2</v>
      </c>
      <c r="I543" s="5">
        <v>0.32128400000000001</v>
      </c>
      <c r="J543" s="5">
        <v>-3.3774299999999999</v>
      </c>
      <c r="K543" s="5">
        <v>0.991703</v>
      </c>
    </row>
    <row r="544" spans="1:11" x14ac:dyDescent="0.35">
      <c r="A544" s="2">
        <v>45</v>
      </c>
      <c r="B544" s="2">
        <v>4</v>
      </c>
      <c r="C544" s="4">
        <v>1777.3711886049921</v>
      </c>
      <c r="D544" s="4">
        <v>-1205.954055930617</v>
      </c>
      <c r="E544" s="4">
        <v>-1192.0468455959999</v>
      </c>
      <c r="F544" s="12" t="s">
        <v>3</v>
      </c>
      <c r="H544" s="5"/>
      <c r="I544" s="5"/>
      <c r="J544" s="5"/>
      <c r="K544" s="5"/>
    </row>
    <row r="545" spans="1:11" x14ac:dyDescent="0.35">
      <c r="A545" s="2">
        <v>45</v>
      </c>
      <c r="B545" s="2">
        <v>5</v>
      </c>
      <c r="C545" s="4">
        <v>5360.0578814261917</v>
      </c>
      <c r="D545" s="4">
        <v>-892.33939208317258</v>
      </c>
      <c r="E545" s="4">
        <v>2622.859935129286</v>
      </c>
      <c r="F545" s="12"/>
      <c r="G545" s="5">
        <v>0.86209999999999998</v>
      </c>
      <c r="H545" s="5">
        <v>4932.57</v>
      </c>
      <c r="I545" s="5">
        <v>2.82755</v>
      </c>
      <c r="J545" s="5">
        <v>0.73808700000000005</v>
      </c>
      <c r="K545" s="5">
        <v>1.67676</v>
      </c>
    </row>
    <row r="546" spans="1:11" x14ac:dyDescent="0.35">
      <c r="A546" s="2">
        <v>45</v>
      </c>
      <c r="B546" s="2">
        <v>6</v>
      </c>
      <c r="C546" s="4">
        <v>1999.4775574303751</v>
      </c>
      <c r="D546" s="4">
        <v>-1158.459759582458</v>
      </c>
      <c r="E546" s="4">
        <v>-1271.49785781797</v>
      </c>
      <c r="F546" s="12" t="s">
        <v>4</v>
      </c>
      <c r="G546" s="5"/>
      <c r="H546" s="5"/>
      <c r="I546" s="5"/>
      <c r="J546" s="5"/>
      <c r="K546" s="5"/>
    </row>
    <row r="547" spans="1:11" x14ac:dyDescent="0.35">
      <c r="A547" s="2">
        <v>45</v>
      </c>
      <c r="B547" s="2">
        <v>7</v>
      </c>
      <c r="C547" s="4">
        <v>-950.45016861746035</v>
      </c>
      <c r="D547" s="4">
        <v>-295.2606405309528</v>
      </c>
      <c r="E547" s="4">
        <v>209.69433475805519</v>
      </c>
      <c r="F547" s="9"/>
      <c r="G547" s="5">
        <v>0.74550000000000005</v>
      </c>
      <c r="H547" s="5">
        <v>1219.8900000000001</v>
      </c>
      <c r="I547" s="5">
        <v>1.6922299999999999</v>
      </c>
      <c r="J547" s="5">
        <v>7.6243699999999998E-2</v>
      </c>
      <c r="K547" s="5">
        <v>2.7271800000000002</v>
      </c>
    </row>
    <row r="548" spans="1:11" x14ac:dyDescent="0.35">
      <c r="A548" s="2">
        <v>45</v>
      </c>
      <c r="B548" s="2">
        <v>8</v>
      </c>
      <c r="C548" s="4">
        <v>2076.621421764205</v>
      </c>
      <c r="D548" s="4">
        <v>4002.4261504822771</v>
      </c>
      <c r="E548" s="4">
        <v>-1625.099436071607</v>
      </c>
    </row>
    <row r="549" spans="1:11" x14ac:dyDescent="0.35">
      <c r="A549" s="2">
        <v>45</v>
      </c>
      <c r="B549" s="2">
        <v>9</v>
      </c>
      <c r="C549" s="4">
        <v>-3968.4002900690839</v>
      </c>
      <c r="D549" s="4">
        <v>1560.3188078115079</v>
      </c>
      <c r="E549" s="4">
        <v>2219.6277979810579</v>
      </c>
    </row>
    <row r="550" spans="1:11" x14ac:dyDescent="0.35">
      <c r="A550" s="2">
        <v>45</v>
      </c>
      <c r="B550" s="2">
        <v>10</v>
      </c>
      <c r="C550" s="4">
        <v>4609.0760405027622</v>
      </c>
      <c r="D550" s="4">
        <v>-300.42929697958908</v>
      </c>
      <c r="E550" s="4">
        <v>-373.74565971819459</v>
      </c>
    </row>
    <row r="552" spans="1:11" x14ac:dyDescent="0.35">
      <c r="F552" s="3" t="s">
        <v>2</v>
      </c>
      <c r="G552" s="11" t="s">
        <v>5</v>
      </c>
      <c r="H552" s="11" t="s">
        <v>6</v>
      </c>
      <c r="I552" s="11" t="s">
        <v>7</v>
      </c>
      <c r="J552" s="11" t="s">
        <v>8</v>
      </c>
      <c r="K552" s="11" t="s">
        <v>9</v>
      </c>
    </row>
    <row r="553" spans="1:11" x14ac:dyDescent="0.35">
      <c r="A553" s="2">
        <v>46</v>
      </c>
      <c r="B553" s="2">
        <v>1</v>
      </c>
      <c r="C553" s="4">
        <v>-1697.4814097623159</v>
      </c>
      <c r="D553" s="4">
        <v>-1845.2916126576449</v>
      </c>
      <c r="E553" s="4">
        <v>-663.56608992968813</v>
      </c>
      <c r="F553" s="12"/>
      <c r="G553" s="5">
        <v>0.60589999999999999</v>
      </c>
      <c r="H553" s="5" t="s">
        <v>37</v>
      </c>
      <c r="I553" s="5">
        <v>3.1415899999999999</v>
      </c>
      <c r="J553" s="5">
        <v>1</v>
      </c>
      <c r="K553" s="5">
        <v>2.1291099999999998</v>
      </c>
    </row>
    <row r="554" spans="1:11" x14ac:dyDescent="0.35">
      <c r="A554" s="2">
        <v>46</v>
      </c>
      <c r="B554" s="2">
        <v>2</v>
      </c>
      <c r="C554" s="4">
        <v>-459.2810114135828</v>
      </c>
      <c r="D554" s="4">
        <v>1378.0193488191601</v>
      </c>
      <c r="E554" s="4">
        <v>-3013.800732008187</v>
      </c>
      <c r="F554" s="12" t="s">
        <v>3</v>
      </c>
      <c r="H554" s="5"/>
      <c r="I554" s="5"/>
      <c r="J554" s="5"/>
      <c r="K554" s="5"/>
    </row>
    <row r="555" spans="1:11" x14ac:dyDescent="0.35">
      <c r="A555" s="2">
        <v>46</v>
      </c>
      <c r="B555" s="2">
        <v>3</v>
      </c>
      <c r="C555" s="4">
        <v>-1619.659360544347</v>
      </c>
      <c r="D555" s="4">
        <v>-364.36446082712672</v>
      </c>
      <c r="E555" s="4">
        <v>3370.240094806682</v>
      </c>
      <c r="F555" s="12"/>
      <c r="G555" s="5">
        <v>0.6986</v>
      </c>
      <c r="H555" s="5">
        <v>6381.89</v>
      </c>
      <c r="I555" s="5">
        <v>2.0485799999999998</v>
      </c>
      <c r="J555" s="5">
        <v>-0.59618499999999996</v>
      </c>
      <c r="K555" s="5">
        <v>0.82392200000000004</v>
      </c>
    </row>
    <row r="556" spans="1:11" x14ac:dyDescent="0.35">
      <c r="A556" s="2">
        <v>46</v>
      </c>
      <c r="B556" s="2">
        <v>4</v>
      </c>
      <c r="C556" s="4">
        <v>4118.4178888999932</v>
      </c>
      <c r="D556" s="4">
        <v>1030.414846755803</v>
      </c>
      <c r="E556" s="4">
        <v>330.60904885023177</v>
      </c>
      <c r="F556" s="12" t="s">
        <v>4</v>
      </c>
      <c r="G556" s="5"/>
      <c r="H556" s="5"/>
      <c r="I556" s="5"/>
      <c r="J556" s="5"/>
      <c r="K556" s="5"/>
    </row>
    <row r="557" spans="1:11" x14ac:dyDescent="0.35">
      <c r="A557" s="2">
        <v>46</v>
      </c>
      <c r="B557" s="2">
        <v>5</v>
      </c>
      <c r="C557" s="4">
        <v>-3193.7651125058828</v>
      </c>
      <c r="D557" s="4">
        <v>2872.6896384122092</v>
      </c>
      <c r="E557" s="4">
        <v>493.17273348001459</v>
      </c>
      <c r="F557" s="9"/>
      <c r="G557" s="5">
        <v>0.7036</v>
      </c>
      <c r="H557" s="5">
        <v>2212.06</v>
      </c>
      <c r="I557" s="5">
        <v>1.3011200000000001</v>
      </c>
      <c r="J557" s="5">
        <v>-1.61239</v>
      </c>
      <c r="K557" s="5">
        <f>1.8824</f>
        <v>1.8824000000000001</v>
      </c>
    </row>
    <row r="558" spans="1:11" x14ac:dyDescent="0.35">
      <c r="A558" s="2">
        <v>46</v>
      </c>
      <c r="B558" s="2">
        <v>6</v>
      </c>
      <c r="C558" s="4">
        <v>1042.849045086951</v>
      </c>
      <c r="D558" s="4">
        <v>273.84056479250921</v>
      </c>
      <c r="E558" s="4">
        <v>237.220412609682</v>
      </c>
    </row>
    <row r="559" spans="1:11" x14ac:dyDescent="0.35">
      <c r="A559" s="2">
        <v>46</v>
      </c>
      <c r="B559" s="2">
        <v>7</v>
      </c>
      <c r="C559" s="4">
        <v>578.94203084213495</v>
      </c>
      <c r="D559" s="4">
        <v>1604.324833431441</v>
      </c>
      <c r="E559" s="4">
        <v>148.68183652833909</v>
      </c>
    </row>
    <row r="560" spans="1:11" x14ac:dyDescent="0.35">
      <c r="A560" s="2">
        <v>46</v>
      </c>
      <c r="B560" s="2">
        <v>8</v>
      </c>
      <c r="C560" s="4">
        <v>223.89292426397569</v>
      </c>
      <c r="D560" s="4">
        <v>-2408.0977603695578</v>
      </c>
      <c r="E560" s="4">
        <v>-699.8870604731411</v>
      </c>
    </row>
    <row r="561" spans="1:11" x14ac:dyDescent="0.35">
      <c r="A561" s="2">
        <v>46</v>
      </c>
      <c r="B561" s="2">
        <v>9</v>
      </c>
      <c r="C561" s="4">
        <v>-4466.7367170404241</v>
      </c>
      <c r="D561" s="4">
        <v>-1516.723447998337</v>
      </c>
      <c r="E561" s="4">
        <v>-411.88697363274969</v>
      </c>
    </row>
    <row r="562" spans="1:11" x14ac:dyDescent="0.35">
      <c r="A562" s="2">
        <v>46</v>
      </c>
      <c r="B562" s="2">
        <v>10</v>
      </c>
      <c r="C562" s="4">
        <v>5472.8217221734394</v>
      </c>
      <c r="D562" s="4">
        <v>-1024.811950358682</v>
      </c>
      <c r="E562" s="4">
        <v>209.21672976860251</v>
      </c>
      <c r="F562" s="3" t="s">
        <v>2</v>
      </c>
      <c r="G562" s="11" t="s">
        <v>5</v>
      </c>
      <c r="H562" s="11" t="s">
        <v>6</v>
      </c>
      <c r="I562" s="11" t="s">
        <v>7</v>
      </c>
      <c r="J562" s="11" t="s">
        <v>8</v>
      </c>
      <c r="K562" s="11" t="s">
        <v>9</v>
      </c>
    </row>
    <row r="563" spans="1:11" x14ac:dyDescent="0.35">
      <c r="F563" s="12"/>
      <c r="G563" s="5">
        <v>0.8579</v>
      </c>
      <c r="H563" s="5">
        <v>6484.43</v>
      </c>
      <c r="I563" s="5">
        <v>1.31552</v>
      </c>
      <c r="J563" s="5">
        <v>-0.31849899999999998</v>
      </c>
      <c r="K563" s="5">
        <v>1.93605</v>
      </c>
    </row>
    <row r="564" spans="1:11" x14ac:dyDescent="0.35">
      <c r="F564" s="12" t="s">
        <v>3</v>
      </c>
      <c r="H564" s="5"/>
      <c r="I564" s="5"/>
      <c r="J564" s="5"/>
      <c r="K564" s="5"/>
    </row>
    <row r="565" spans="1:11" x14ac:dyDescent="0.35">
      <c r="A565" s="2">
        <v>47</v>
      </c>
      <c r="B565" s="2">
        <v>1</v>
      </c>
      <c r="C565" s="4">
        <v>4893.4752414190662</v>
      </c>
      <c r="D565" s="4">
        <v>758.45048350896866</v>
      </c>
      <c r="E565" s="4">
        <v>351.1489740388073</v>
      </c>
      <c r="F565" s="12"/>
      <c r="G565" s="5">
        <v>0.73109999999999997</v>
      </c>
      <c r="H565" s="5">
        <v>7878.7</v>
      </c>
      <c r="I565" s="5">
        <v>1.85382</v>
      </c>
      <c r="J565" s="5">
        <v>-0.327791</v>
      </c>
      <c r="K565" s="5">
        <v>1.31975</v>
      </c>
    </row>
    <row r="566" spans="1:11" x14ac:dyDescent="0.35">
      <c r="A566" s="2">
        <v>47</v>
      </c>
      <c r="B566" s="2">
        <v>2</v>
      </c>
      <c r="C566" s="4">
        <v>-1950.9240109093371</v>
      </c>
      <c r="D566" s="4">
        <v>-539.34859414169523</v>
      </c>
      <c r="E566" s="4">
        <v>-597.40819102306125</v>
      </c>
      <c r="F566" s="12" t="s">
        <v>4</v>
      </c>
      <c r="G566" s="5"/>
      <c r="H566" s="5"/>
      <c r="I566" s="5"/>
      <c r="J566" s="5"/>
      <c r="K566" s="5"/>
    </row>
    <row r="567" spans="1:11" x14ac:dyDescent="0.35">
      <c r="A567" s="2">
        <v>47</v>
      </c>
      <c r="B567" s="2">
        <v>3</v>
      </c>
      <c r="C567" s="4">
        <v>-2400.1148952399808</v>
      </c>
      <c r="D567" s="4">
        <v>3672.1332044540559</v>
      </c>
      <c r="E567" s="4">
        <v>-1885.5467164738279</v>
      </c>
      <c r="F567" s="9"/>
      <c r="G567" s="5">
        <v>0.88690000000000002</v>
      </c>
      <c r="H567" s="5">
        <v>1482.25</v>
      </c>
      <c r="I567" s="5">
        <v>1.4440599999999999</v>
      </c>
      <c r="J567" s="5">
        <v>-0.666794</v>
      </c>
      <c r="K567" s="5">
        <f>2.68609</f>
        <v>2.6860900000000001</v>
      </c>
    </row>
    <row r="568" spans="1:11" x14ac:dyDescent="0.35">
      <c r="A568" s="2">
        <v>47</v>
      </c>
      <c r="B568" s="2">
        <v>4</v>
      </c>
      <c r="C568" s="4">
        <v>-211.16026892166721</v>
      </c>
      <c r="D568" s="4">
        <v>1036.561333846767</v>
      </c>
      <c r="E568" s="4">
        <v>-21.013677925940929</v>
      </c>
    </row>
    <row r="569" spans="1:11" x14ac:dyDescent="0.35">
      <c r="A569" s="2">
        <v>47</v>
      </c>
      <c r="B569" s="2">
        <v>5</v>
      </c>
      <c r="C569" s="4">
        <v>-2796.36732090539</v>
      </c>
      <c r="D569" s="4">
        <v>588.50714180874513</v>
      </c>
      <c r="E569" s="4">
        <v>4012.2081323777738</v>
      </c>
    </row>
    <row r="570" spans="1:11" x14ac:dyDescent="0.35">
      <c r="A570" s="2">
        <v>47</v>
      </c>
      <c r="B570" s="2">
        <v>6</v>
      </c>
      <c r="C570" s="4">
        <v>-1824.6026016748599</v>
      </c>
      <c r="D570" s="4">
        <v>-425.6383666757115</v>
      </c>
      <c r="E570" s="4">
        <v>-135.95270545323109</v>
      </c>
    </row>
    <row r="571" spans="1:11" x14ac:dyDescent="0.35">
      <c r="A571" s="2">
        <v>47</v>
      </c>
      <c r="B571" s="2">
        <v>7</v>
      </c>
      <c r="C571" s="4">
        <v>1699.960698445431</v>
      </c>
      <c r="D571" s="4">
        <v>-933.34655413719054</v>
      </c>
      <c r="E571" s="4">
        <v>92.71029671973325</v>
      </c>
    </row>
    <row r="572" spans="1:11" x14ac:dyDescent="0.35">
      <c r="A572" s="2">
        <v>47</v>
      </c>
      <c r="B572" s="2">
        <v>8</v>
      </c>
      <c r="C572" s="4">
        <v>-3008.5384337339128</v>
      </c>
      <c r="D572" s="4">
        <v>-2345.8274989741949</v>
      </c>
      <c r="E572" s="4">
        <v>-1244.0406013728641</v>
      </c>
    </row>
    <row r="573" spans="1:11" x14ac:dyDescent="0.35">
      <c r="A573" s="2">
        <v>47</v>
      </c>
      <c r="B573" s="2">
        <v>9</v>
      </c>
      <c r="C573" s="4">
        <v>5050.6931650131528</v>
      </c>
      <c r="D573" s="4">
        <v>146.3143704440746</v>
      </c>
      <c r="E573" s="4">
        <v>-6.5132584553927924</v>
      </c>
      <c r="F573" s="3" t="s">
        <v>2</v>
      </c>
      <c r="G573" s="11" t="s">
        <v>5</v>
      </c>
      <c r="H573" s="11" t="s">
        <v>6</v>
      </c>
      <c r="I573" s="11" t="s">
        <v>7</v>
      </c>
      <c r="J573" s="11" t="s">
        <v>8</v>
      </c>
      <c r="K573" s="11" t="s">
        <v>9</v>
      </c>
    </row>
    <row r="574" spans="1:11" x14ac:dyDescent="0.35">
      <c r="A574" s="2">
        <v>47</v>
      </c>
      <c r="B574" s="2">
        <v>10</v>
      </c>
      <c r="C574" s="4">
        <v>547.57842650723342</v>
      </c>
      <c r="D574" s="4">
        <v>-1957.8055201340751</v>
      </c>
      <c r="E574" s="4">
        <v>-565.59225243211097</v>
      </c>
      <c r="F574" s="12"/>
      <c r="G574" s="5">
        <v>0.87019999999999997</v>
      </c>
      <c r="H574" s="5">
        <v>4709.25</v>
      </c>
      <c r="I574" s="5">
        <v>1.3486199999999999</v>
      </c>
      <c r="J574" s="5">
        <v>0.35482200000000003</v>
      </c>
      <c r="K574" s="5">
        <v>2.31826</v>
      </c>
    </row>
    <row r="575" spans="1:11" x14ac:dyDescent="0.35">
      <c r="F575" s="12" t="s">
        <v>3</v>
      </c>
      <c r="H575" s="5"/>
      <c r="I575" s="5"/>
      <c r="J575" s="5"/>
      <c r="K575" s="5"/>
    </row>
    <row r="576" spans="1:11" x14ac:dyDescent="0.35">
      <c r="F576" s="12"/>
      <c r="G576" s="5">
        <v>0.82789999999999997</v>
      </c>
      <c r="H576" s="5">
        <v>3287.77</v>
      </c>
      <c r="I576" s="5">
        <v>1.7367600000000001</v>
      </c>
      <c r="J576" s="5">
        <v>-1.63567</v>
      </c>
      <c r="K576" s="5">
        <v>2.2878400000000001</v>
      </c>
    </row>
    <row r="577" spans="1:11" x14ac:dyDescent="0.35">
      <c r="A577" s="2">
        <v>48</v>
      </c>
      <c r="B577" s="2">
        <v>1</v>
      </c>
      <c r="C577" s="4">
        <v>-3006.3599298881259</v>
      </c>
      <c r="D577" s="4">
        <v>-1999.1463897811821</v>
      </c>
      <c r="E577" s="4">
        <v>1689.477900020092</v>
      </c>
      <c r="F577" s="12" t="s">
        <v>4</v>
      </c>
      <c r="G577" s="5"/>
      <c r="H577" s="5"/>
      <c r="I577" s="5"/>
      <c r="J577" s="5"/>
      <c r="K577" s="5"/>
    </row>
    <row r="578" spans="1:11" x14ac:dyDescent="0.35">
      <c r="A578" s="2">
        <v>48</v>
      </c>
      <c r="B578" s="2">
        <v>2</v>
      </c>
      <c r="C578" s="4">
        <v>1361.5500724121</v>
      </c>
      <c r="D578" s="4">
        <v>2075.7223437512248</v>
      </c>
      <c r="E578" s="4">
        <v>-1263.7223129837409</v>
      </c>
      <c r="F578" s="9"/>
      <c r="G578" s="5">
        <v>0.89049999999999996</v>
      </c>
      <c r="H578" s="5">
        <v>3291.86</v>
      </c>
      <c r="I578" s="5">
        <v>2.87574</v>
      </c>
      <c r="J578" s="5">
        <v>-0.54643600000000003</v>
      </c>
      <c r="K578" s="5">
        <f>1.38722</f>
        <v>1.3872199999999999</v>
      </c>
    </row>
    <row r="579" spans="1:11" x14ac:dyDescent="0.35">
      <c r="A579" s="2">
        <v>48</v>
      </c>
      <c r="B579" s="2">
        <v>3</v>
      </c>
      <c r="C579" s="4">
        <v>-1723.5038496937129</v>
      </c>
      <c r="D579" s="4">
        <v>-2499.1200421395069</v>
      </c>
      <c r="E579" s="4">
        <v>-2655.8548635726311</v>
      </c>
    </row>
    <row r="580" spans="1:11" x14ac:dyDescent="0.35">
      <c r="A580" s="2">
        <v>48</v>
      </c>
      <c r="B580" s="2">
        <v>4</v>
      </c>
      <c r="C580" s="4">
        <v>1504.6848579659761</v>
      </c>
      <c r="D580" s="4">
        <v>1989.4413165185881</v>
      </c>
      <c r="E580" s="4">
        <v>-652.25032117949127</v>
      </c>
    </row>
    <row r="581" spans="1:11" x14ac:dyDescent="0.35">
      <c r="A581" s="2">
        <v>48</v>
      </c>
      <c r="B581" s="2">
        <v>5</v>
      </c>
      <c r="C581" s="4">
        <v>1185.303794368617</v>
      </c>
      <c r="D581" s="4">
        <v>554.63741441902619</v>
      </c>
      <c r="E581" s="4">
        <v>3033.019940823845</v>
      </c>
    </row>
    <row r="582" spans="1:11" x14ac:dyDescent="0.35">
      <c r="A582" s="2">
        <v>48</v>
      </c>
      <c r="B582" s="2">
        <v>6</v>
      </c>
      <c r="C582" s="4">
        <v>-3934.8525665822499</v>
      </c>
      <c r="D582" s="4">
        <v>3013.7660783996862</v>
      </c>
      <c r="E582" s="4">
        <v>-236.97860367068071</v>
      </c>
      <c r="F582" s="3" t="s">
        <v>2</v>
      </c>
      <c r="G582" s="11" t="s">
        <v>5</v>
      </c>
      <c r="H582" s="11" t="s">
        <v>6</v>
      </c>
      <c r="I582" s="11" t="s">
        <v>7</v>
      </c>
      <c r="J582" s="11" t="s">
        <v>8</v>
      </c>
      <c r="K582" s="11" t="s">
        <v>9</v>
      </c>
    </row>
    <row r="583" spans="1:11" x14ac:dyDescent="0.35">
      <c r="A583" s="2">
        <v>48</v>
      </c>
      <c r="B583" s="2">
        <v>7</v>
      </c>
      <c r="C583" s="4">
        <v>1236.3072807595829</v>
      </c>
      <c r="D583" s="4">
        <v>-1187.522218636203</v>
      </c>
      <c r="E583" s="4">
        <v>481.2399412795437</v>
      </c>
      <c r="F583" s="12"/>
      <c r="G583" s="5">
        <v>0.79579999999999995</v>
      </c>
      <c r="H583" s="5">
        <v>31973.8</v>
      </c>
      <c r="I583" s="5">
        <v>1.3642700000000001</v>
      </c>
      <c r="J583" s="5">
        <v>-1.42256</v>
      </c>
      <c r="K583" s="5">
        <v>0.26744400000000002</v>
      </c>
    </row>
    <row r="584" spans="1:11" x14ac:dyDescent="0.35">
      <c r="A584" s="2">
        <v>48</v>
      </c>
      <c r="B584" s="2">
        <v>8</v>
      </c>
      <c r="C584" s="4">
        <v>-1727.242712522986</v>
      </c>
      <c r="D584" s="4">
        <v>-161.3272079970379</v>
      </c>
      <c r="E584" s="4">
        <v>44.29598543299803</v>
      </c>
      <c r="F584" s="12" t="s">
        <v>3</v>
      </c>
      <c r="H584" s="5"/>
      <c r="I584" s="5"/>
      <c r="J584" s="5"/>
      <c r="K584" s="5"/>
    </row>
    <row r="585" spans="1:11" x14ac:dyDescent="0.35">
      <c r="A585" s="2">
        <v>48</v>
      </c>
      <c r="B585" s="2">
        <v>9</v>
      </c>
      <c r="C585" s="4">
        <v>994.13968027997612</v>
      </c>
      <c r="D585" s="4">
        <v>-1154.102349110153</v>
      </c>
      <c r="E585" s="4">
        <v>11.84513017367634</v>
      </c>
      <c r="F585" s="12"/>
      <c r="G585" s="5">
        <v>0.89590000000000003</v>
      </c>
      <c r="H585" s="5">
        <v>3701.57</v>
      </c>
      <c r="I585" s="5">
        <v>1.2644200000000001</v>
      </c>
      <c r="J585" s="5">
        <v>-2.10032</v>
      </c>
      <c r="K585" s="5">
        <v>1.9003300000000001</v>
      </c>
    </row>
    <row r="586" spans="1:11" x14ac:dyDescent="0.35">
      <c r="A586" s="2">
        <v>48</v>
      </c>
      <c r="B586" s="2">
        <v>10</v>
      </c>
      <c r="C586" s="4">
        <v>4109.973372901426</v>
      </c>
      <c r="D586" s="4">
        <v>-632.34894542484028</v>
      </c>
      <c r="E586" s="4">
        <v>-451.0727963232743</v>
      </c>
      <c r="F586" s="12" t="s">
        <v>4</v>
      </c>
      <c r="G586" s="5"/>
      <c r="H586" s="5"/>
      <c r="I586" s="5"/>
      <c r="J586" s="5"/>
      <c r="K586" s="5"/>
    </row>
    <row r="587" spans="1:11" x14ac:dyDescent="0.35">
      <c r="F587" s="9"/>
      <c r="G587" s="5">
        <v>0.74180000000000001</v>
      </c>
      <c r="H587" s="5" t="s">
        <v>38</v>
      </c>
      <c r="I587" s="5" t="s">
        <v>39</v>
      </c>
      <c r="J587" s="5">
        <v>4.8456200000000003</v>
      </c>
      <c r="K587" s="5">
        <v>2.7978200000000002</v>
      </c>
    </row>
    <row r="589" spans="1:11" x14ac:dyDescent="0.35">
      <c r="A589" s="2">
        <v>49</v>
      </c>
      <c r="B589" s="2">
        <v>1</v>
      </c>
      <c r="C589" s="4">
        <v>1260.4951383171219</v>
      </c>
      <c r="D589" s="4">
        <v>-1889.410947115859</v>
      </c>
      <c r="E589" s="4">
        <v>286.32826048664612</v>
      </c>
    </row>
    <row r="590" spans="1:11" x14ac:dyDescent="0.35">
      <c r="A590" s="2">
        <v>49</v>
      </c>
      <c r="B590" s="2">
        <v>2</v>
      </c>
      <c r="C590" s="4">
        <v>-250.15514009639429</v>
      </c>
      <c r="D590" s="4">
        <v>-292.71752391082867</v>
      </c>
      <c r="E590" s="4">
        <v>-558.37628767277238</v>
      </c>
    </row>
    <row r="591" spans="1:11" x14ac:dyDescent="0.35">
      <c r="A591" s="2">
        <v>49</v>
      </c>
      <c r="B591" s="2">
        <v>3</v>
      </c>
      <c r="C591" s="4">
        <v>537.9783486897112</v>
      </c>
      <c r="D591" s="4">
        <v>2773.616452704659</v>
      </c>
      <c r="E591" s="4">
        <v>4063.7340070824789</v>
      </c>
    </row>
    <row r="592" spans="1:11" x14ac:dyDescent="0.35">
      <c r="A592" s="2">
        <v>49</v>
      </c>
      <c r="B592" s="2">
        <v>4</v>
      </c>
      <c r="C592" s="4">
        <v>-1048.335926873739</v>
      </c>
      <c r="D592" s="4">
        <v>2931.959137152307</v>
      </c>
      <c r="E592" s="4">
        <v>-2747.718136944075</v>
      </c>
      <c r="F592" s="3" t="s">
        <v>2</v>
      </c>
      <c r="G592" s="11" t="s">
        <v>5</v>
      </c>
      <c r="H592" s="11" t="s">
        <v>6</v>
      </c>
      <c r="I592" s="11" t="s">
        <v>7</v>
      </c>
      <c r="J592" s="11" t="s">
        <v>8</v>
      </c>
      <c r="K592" s="11" t="s">
        <v>9</v>
      </c>
    </row>
    <row r="593" spans="1:11" x14ac:dyDescent="0.35">
      <c r="A593" s="2">
        <v>49</v>
      </c>
      <c r="B593" s="2">
        <v>5</v>
      </c>
      <c r="C593" s="4">
        <v>-2413.1706047353032</v>
      </c>
      <c r="D593" s="4">
        <v>-2777.5707751708101</v>
      </c>
      <c r="E593" s="4">
        <v>461.03882252375058</v>
      </c>
      <c r="F593" s="12"/>
      <c r="G593" s="5">
        <v>0.79069999999999996</v>
      </c>
      <c r="H593" s="5">
        <v>3254.85</v>
      </c>
      <c r="I593" s="5">
        <v>1.2523500000000001</v>
      </c>
      <c r="J593" s="5">
        <v>1.4514800000000001</v>
      </c>
      <c r="K593" s="5">
        <v>1.95062</v>
      </c>
    </row>
    <row r="594" spans="1:11" x14ac:dyDescent="0.35">
      <c r="A594" s="2">
        <v>49</v>
      </c>
      <c r="B594" s="2">
        <v>6</v>
      </c>
      <c r="C594" s="4">
        <v>6442.3099201902214</v>
      </c>
      <c r="D594" s="4">
        <v>-912.64480921018082</v>
      </c>
      <c r="E594" s="4">
        <v>-173.35271626747121</v>
      </c>
      <c r="F594" s="12" t="s">
        <v>3</v>
      </c>
      <c r="H594" s="5"/>
      <c r="I594" s="5"/>
      <c r="J594" s="5"/>
      <c r="K594" s="5"/>
    </row>
    <row r="595" spans="1:11" x14ac:dyDescent="0.35">
      <c r="A595" s="2">
        <v>49</v>
      </c>
      <c r="B595" s="2">
        <v>7</v>
      </c>
      <c r="C595" s="4">
        <v>-3819.893938158827</v>
      </c>
      <c r="D595" s="4">
        <v>-1343.352481119716</v>
      </c>
      <c r="E595" s="4">
        <v>-60.144318160172332</v>
      </c>
      <c r="F595" s="12"/>
      <c r="G595" s="5">
        <v>0.80249999999999999</v>
      </c>
      <c r="H595" s="5" t="s">
        <v>40</v>
      </c>
      <c r="I595" s="5">
        <v>3.1415899999999999</v>
      </c>
      <c r="J595" s="5">
        <f>-1.3876*10^-11</f>
        <v>-1.3875999999999998E-11</v>
      </c>
      <c r="K595" s="5">
        <v>1.3092699999999999</v>
      </c>
    </row>
    <row r="596" spans="1:11" x14ac:dyDescent="0.35">
      <c r="A596" s="2">
        <v>49</v>
      </c>
      <c r="B596" s="2">
        <v>8</v>
      </c>
      <c r="C596" s="4">
        <v>-150.42581042833689</v>
      </c>
      <c r="D596" s="4">
        <v>-1152.4164794781141</v>
      </c>
      <c r="E596" s="4">
        <v>92.81444168739641</v>
      </c>
      <c r="F596" s="12" t="s">
        <v>4</v>
      </c>
      <c r="G596" s="5"/>
      <c r="H596" s="5"/>
      <c r="I596" s="5"/>
      <c r="J596" s="5"/>
      <c r="K596" s="5"/>
    </row>
    <row r="597" spans="1:11" x14ac:dyDescent="0.35">
      <c r="A597" s="2">
        <v>49</v>
      </c>
      <c r="B597" s="2">
        <v>9</v>
      </c>
      <c r="C597" s="4">
        <v>-5084.8111833366238</v>
      </c>
      <c r="D597" s="4">
        <v>1486.740560443619</v>
      </c>
      <c r="E597" s="4">
        <v>-272.7330858713517</v>
      </c>
      <c r="F597" s="9"/>
      <c r="G597" s="5">
        <v>0.6794</v>
      </c>
      <c r="H597" s="5">
        <v>2137.9899999999998</v>
      </c>
      <c r="I597" s="5">
        <v>1.9673499999999999</v>
      </c>
      <c r="J597" s="5">
        <v>-1.24804</v>
      </c>
      <c r="K597" s="5">
        <v>1.4324600000000001</v>
      </c>
    </row>
    <row r="598" spans="1:11" x14ac:dyDescent="0.35">
      <c r="A598" s="2">
        <v>49</v>
      </c>
      <c r="B598" s="2">
        <v>10</v>
      </c>
      <c r="C598" s="4">
        <v>4526.0091964313251</v>
      </c>
      <c r="D598" s="4">
        <v>1175.796865705081</v>
      </c>
      <c r="E598" s="4">
        <v>-1091.5909868649001</v>
      </c>
    </row>
    <row r="601" spans="1:11" x14ac:dyDescent="0.35">
      <c r="A601" s="2">
        <v>50</v>
      </c>
      <c r="B601" s="2">
        <v>1</v>
      </c>
      <c r="C601" s="4">
        <v>14500.25302491466</v>
      </c>
      <c r="D601" s="4">
        <v>-3267.1617466909679</v>
      </c>
      <c r="E601" s="4">
        <v>-2952.733552918894</v>
      </c>
    </row>
    <row r="602" spans="1:11" x14ac:dyDescent="0.35">
      <c r="A602" s="2">
        <v>50</v>
      </c>
      <c r="B602" s="2">
        <v>2</v>
      </c>
      <c r="C602" s="4">
        <v>2793.0634124072249</v>
      </c>
      <c r="D602" s="4">
        <v>11818.69369405959</v>
      </c>
      <c r="E602" s="4">
        <v>-1862.285208123873</v>
      </c>
      <c r="F602" s="3" t="s">
        <v>2</v>
      </c>
      <c r="G602" s="11" t="s">
        <v>5</v>
      </c>
      <c r="H602" s="11" t="s">
        <v>6</v>
      </c>
      <c r="I602" s="11" t="s">
        <v>7</v>
      </c>
      <c r="J602" s="11" t="s">
        <v>8</v>
      </c>
      <c r="K602" s="11" t="s">
        <v>9</v>
      </c>
    </row>
    <row r="603" spans="1:11" x14ac:dyDescent="0.35">
      <c r="A603" s="2">
        <v>50</v>
      </c>
      <c r="B603" s="2">
        <v>3</v>
      </c>
      <c r="C603" s="4">
        <v>-3278.7236188566499</v>
      </c>
      <c r="D603" s="4">
        <v>4588.4929349380373</v>
      </c>
      <c r="E603" s="4">
        <v>1430.4113922709071</v>
      </c>
      <c r="F603" s="12"/>
      <c r="G603" s="5">
        <v>0.76249999999999996</v>
      </c>
      <c r="H603" s="5">
        <v>10385.5</v>
      </c>
      <c r="I603" s="5">
        <v>1.9365699999999999</v>
      </c>
      <c r="J603" s="5">
        <v>1.54206</v>
      </c>
      <c r="K603" s="5">
        <v>0.94067999999999996</v>
      </c>
    </row>
    <row r="604" spans="1:11" x14ac:dyDescent="0.35">
      <c r="A604" s="2">
        <v>50</v>
      </c>
      <c r="B604" s="2">
        <v>4</v>
      </c>
      <c r="C604" s="4">
        <v>-2999.5378156877618</v>
      </c>
      <c r="D604" s="4">
        <v>-3891.430265947386</v>
      </c>
      <c r="E604" s="4">
        <v>-683.08970404969887</v>
      </c>
      <c r="F604" s="12" t="s">
        <v>3</v>
      </c>
      <c r="H604" s="5"/>
      <c r="I604" s="5"/>
      <c r="J604" s="5"/>
      <c r="K604" s="5"/>
    </row>
    <row r="605" spans="1:11" x14ac:dyDescent="0.35">
      <c r="A605" s="2">
        <v>50</v>
      </c>
      <c r="B605" s="2">
        <v>5</v>
      </c>
      <c r="C605" s="4">
        <v>-5524.2174622295752</v>
      </c>
      <c r="D605" s="4">
        <v>275.54146085479471</v>
      </c>
      <c r="E605" s="4">
        <v>-2054.022302211828</v>
      </c>
      <c r="F605" s="12"/>
      <c r="G605" s="5">
        <v>0.86380000000000001</v>
      </c>
      <c r="H605" s="5">
        <v>1581.14</v>
      </c>
      <c r="I605" s="5">
        <v>2.1265299999999998</v>
      </c>
      <c r="J605" s="5">
        <v>-1.3610199999999999</v>
      </c>
      <c r="K605" s="5">
        <v>2.6941000000000002</v>
      </c>
    </row>
    <row r="606" spans="1:11" x14ac:dyDescent="0.35">
      <c r="A606" s="2">
        <v>50</v>
      </c>
      <c r="B606" s="2">
        <v>6</v>
      </c>
      <c r="C606" s="4">
        <v>-831.08075925501646</v>
      </c>
      <c r="D606" s="4">
        <v>-7844.1663995685631</v>
      </c>
      <c r="E606" s="4">
        <v>621.73313772654433</v>
      </c>
      <c r="F606" s="12" t="s">
        <v>4</v>
      </c>
      <c r="G606" s="5"/>
      <c r="H606" s="5"/>
      <c r="I606" s="5"/>
      <c r="J606" s="5"/>
      <c r="K606" s="5"/>
    </row>
    <row r="607" spans="1:11" x14ac:dyDescent="0.35">
      <c r="A607" s="2">
        <v>50</v>
      </c>
      <c r="B607" s="2">
        <v>7</v>
      </c>
      <c r="C607" s="4">
        <v>-3813.1320209130522</v>
      </c>
      <c r="D607" s="4">
        <v>-2212.6927467049268</v>
      </c>
      <c r="E607" s="4">
        <v>-1324.195633340307</v>
      </c>
      <c r="F607" s="9"/>
      <c r="G607" s="5">
        <v>0.84719999999999995</v>
      </c>
      <c r="H607" s="5">
        <v>1196.67</v>
      </c>
      <c r="I607" s="5">
        <v>0.96620899999999998</v>
      </c>
      <c r="J607" s="5">
        <v>2.5532499999999998</v>
      </c>
      <c r="K607" s="5">
        <v>2.69415</v>
      </c>
    </row>
    <row r="608" spans="1:11" x14ac:dyDescent="0.35">
      <c r="A608" s="2">
        <v>50</v>
      </c>
      <c r="B608" s="2">
        <v>8</v>
      </c>
      <c r="C608" s="4">
        <v>-4659.2989472873787</v>
      </c>
      <c r="D608" s="4">
        <v>-855.48491064605241</v>
      </c>
      <c r="E608" s="4">
        <v>-1137.5209583845401</v>
      </c>
    </row>
    <row r="609" spans="1:11" x14ac:dyDescent="0.35">
      <c r="A609" s="2">
        <v>50</v>
      </c>
      <c r="B609" s="2">
        <v>9</v>
      </c>
      <c r="C609" s="4">
        <v>-2533.344494935071</v>
      </c>
      <c r="D609" s="4">
        <v>956.55611201106171</v>
      </c>
      <c r="E609" s="4">
        <v>2370.3072328187409</v>
      </c>
    </row>
    <row r="610" spans="1:11" x14ac:dyDescent="0.35">
      <c r="A610" s="2">
        <v>50</v>
      </c>
      <c r="B610" s="2">
        <v>10</v>
      </c>
      <c r="C610" s="4">
        <v>6346.0186818437123</v>
      </c>
      <c r="D610" s="4">
        <v>431.65186769455107</v>
      </c>
      <c r="E610" s="4">
        <v>5591.3955962129676</v>
      </c>
    </row>
    <row r="612" spans="1:11" x14ac:dyDescent="0.35">
      <c r="F612" s="3" t="s">
        <v>2</v>
      </c>
      <c r="G612" s="11" t="s">
        <v>5</v>
      </c>
      <c r="H612" s="11" t="s">
        <v>6</v>
      </c>
      <c r="I612" s="11" t="s">
        <v>7</v>
      </c>
      <c r="J612" s="11" t="s">
        <v>8</v>
      </c>
      <c r="K612" s="11" t="s">
        <v>9</v>
      </c>
    </row>
    <row r="613" spans="1:11" x14ac:dyDescent="0.35">
      <c r="A613" s="2">
        <v>51</v>
      </c>
      <c r="B613" s="2">
        <v>1</v>
      </c>
      <c r="C613" s="4">
        <v>-6289.4574264714129</v>
      </c>
      <c r="D613" s="4">
        <v>7508.973147345182</v>
      </c>
      <c r="E613" s="4">
        <v>5739.3869184432542</v>
      </c>
      <c r="F613" s="12"/>
      <c r="G613" s="5">
        <v>0.71409999999999996</v>
      </c>
      <c r="H613" s="5">
        <v>4906.13</v>
      </c>
      <c r="I613" s="5">
        <v>1.35507</v>
      </c>
      <c r="J613" s="5">
        <v>-0.39991199999999999</v>
      </c>
      <c r="K613" s="5">
        <v>1.8365400000000001</v>
      </c>
    </row>
    <row r="614" spans="1:11" x14ac:dyDescent="0.35">
      <c r="A614" s="2">
        <v>51</v>
      </c>
      <c r="B614" s="2">
        <v>2</v>
      </c>
      <c r="C614" s="4">
        <v>-1503.049933870371</v>
      </c>
      <c r="D614" s="4">
        <v>6740.5779353423031</v>
      </c>
      <c r="E614" s="4">
        <v>-2383.317134636226</v>
      </c>
      <c r="F614" s="12" t="s">
        <v>3</v>
      </c>
      <c r="H614" s="5"/>
      <c r="I614" s="5"/>
      <c r="J614" s="5"/>
      <c r="K614" s="5"/>
    </row>
    <row r="615" spans="1:11" x14ac:dyDescent="0.35">
      <c r="A615" s="2">
        <v>51</v>
      </c>
      <c r="B615" s="2">
        <v>3</v>
      </c>
      <c r="C615" s="4">
        <v>-1191.7061808092119</v>
      </c>
      <c r="D615" s="4">
        <v>264.85488359704999</v>
      </c>
      <c r="E615" s="4">
        <v>-3688.1095054379548</v>
      </c>
      <c r="F615" s="12"/>
      <c r="G615" s="5">
        <v>0.94010000000000005</v>
      </c>
      <c r="H615" s="5">
        <v>5624.06</v>
      </c>
      <c r="I615" s="5">
        <v>0.17879400000000001</v>
      </c>
      <c r="J615" s="5">
        <v>-0.24704499999999999</v>
      </c>
      <c r="K615" s="5">
        <v>0.69525400000000004</v>
      </c>
    </row>
    <row r="616" spans="1:11" x14ac:dyDescent="0.35">
      <c r="A616" s="2">
        <v>51</v>
      </c>
      <c r="B616" s="2">
        <v>4</v>
      </c>
      <c r="C616" s="4">
        <v>4142.041556579542</v>
      </c>
      <c r="D616" s="4">
        <v>-2468.4593202477358</v>
      </c>
      <c r="E616" s="4">
        <v>1421.998770065549</v>
      </c>
      <c r="F616" s="12" t="s">
        <v>4</v>
      </c>
      <c r="G616" s="5"/>
      <c r="H616" s="5"/>
      <c r="I616" s="5"/>
      <c r="J616" s="5"/>
      <c r="K616" s="5"/>
    </row>
    <row r="617" spans="1:11" x14ac:dyDescent="0.35">
      <c r="A617" s="2">
        <v>51</v>
      </c>
      <c r="B617" s="2">
        <v>5</v>
      </c>
      <c r="C617" s="4">
        <v>10515.419255124039</v>
      </c>
      <c r="D617" s="4">
        <v>1923.3043688186301</v>
      </c>
      <c r="E617" s="4">
        <v>-59.141581326936617</v>
      </c>
      <c r="F617" s="9"/>
      <c r="G617" s="5">
        <v>0.63680000000000003</v>
      </c>
      <c r="H617" s="5" t="s">
        <v>41</v>
      </c>
      <c r="I617" s="5">
        <v>3.1415899999999999</v>
      </c>
      <c r="J617" s="5">
        <f>-6.1851*10^-11</f>
        <v>-6.1850999999999994E-11</v>
      </c>
      <c r="K617" s="5">
        <v>1.12005</v>
      </c>
    </row>
    <row r="618" spans="1:11" x14ac:dyDescent="0.35">
      <c r="A618" s="2">
        <v>51</v>
      </c>
      <c r="B618" s="2">
        <v>6</v>
      </c>
      <c r="C618" s="4">
        <v>109.242988869355</v>
      </c>
      <c r="D618" s="4">
        <v>-5260.6625912039153</v>
      </c>
      <c r="E618" s="4">
        <v>2314.6546948502892</v>
      </c>
    </row>
    <row r="619" spans="1:11" x14ac:dyDescent="0.35">
      <c r="A619" s="2">
        <v>51</v>
      </c>
      <c r="B619" s="2">
        <v>7</v>
      </c>
      <c r="C619" s="4">
        <v>8287.2897494658482</v>
      </c>
      <c r="D619" s="4">
        <v>321.57929933896008</v>
      </c>
      <c r="E619" s="4">
        <v>281.07419508630551</v>
      </c>
    </row>
    <row r="620" spans="1:11" x14ac:dyDescent="0.35">
      <c r="A620" s="2">
        <v>51</v>
      </c>
      <c r="B620" s="2">
        <v>8</v>
      </c>
      <c r="C620" s="4">
        <v>-3417.736852241233</v>
      </c>
      <c r="D620" s="4">
        <v>-6362.3470067743647</v>
      </c>
      <c r="E620" s="4">
        <v>1914.0282213960161</v>
      </c>
    </row>
    <row r="621" spans="1:11" x14ac:dyDescent="0.35">
      <c r="A621" s="2">
        <v>51</v>
      </c>
      <c r="B621" s="2">
        <v>9</v>
      </c>
      <c r="C621" s="4">
        <v>-6854.7918079367928</v>
      </c>
      <c r="D621" s="4">
        <v>-4483.664845143272</v>
      </c>
      <c r="E621" s="4">
        <v>-1888.004469253056</v>
      </c>
    </row>
    <row r="622" spans="1:11" x14ac:dyDescent="0.35">
      <c r="A622" s="2">
        <v>51</v>
      </c>
      <c r="B622" s="2">
        <v>10</v>
      </c>
      <c r="C622" s="4">
        <v>-3797.2513487111369</v>
      </c>
      <c r="D622" s="4">
        <v>1815.8441289266659</v>
      </c>
      <c r="E622" s="4">
        <v>-3652.570109186729</v>
      </c>
      <c r="F622" s="3" t="s">
        <v>2</v>
      </c>
      <c r="G622" s="11" t="s">
        <v>5</v>
      </c>
      <c r="H622" s="11" t="s">
        <v>6</v>
      </c>
      <c r="I622" s="11" t="s">
        <v>7</v>
      </c>
      <c r="J622" s="11" t="s">
        <v>8</v>
      </c>
      <c r="K622" s="11" t="s">
        <v>9</v>
      </c>
    </row>
    <row r="623" spans="1:11" x14ac:dyDescent="0.35">
      <c r="F623" s="12"/>
      <c r="G623" s="5">
        <v>0.74250000000000005</v>
      </c>
      <c r="H623" s="5">
        <v>12694.8</v>
      </c>
      <c r="I623" s="5">
        <v>2.5653199999999998</v>
      </c>
      <c r="J623" s="5">
        <v>0.90123200000000003</v>
      </c>
      <c r="K623" s="5">
        <v>0.58421199999999995</v>
      </c>
    </row>
    <row r="624" spans="1:11" x14ac:dyDescent="0.35">
      <c r="F624" s="12" t="s">
        <v>3</v>
      </c>
      <c r="H624" s="5"/>
      <c r="I624" s="5"/>
      <c r="J624" s="5"/>
      <c r="K624" s="5"/>
    </row>
    <row r="625" spans="1:11" x14ac:dyDescent="0.35">
      <c r="A625" s="2">
        <v>52</v>
      </c>
      <c r="B625" s="2">
        <v>1</v>
      </c>
      <c r="C625" s="4">
        <v>10011.524873681319</v>
      </c>
      <c r="D625" s="4">
        <v>1393.1086881866579</v>
      </c>
      <c r="E625" s="4">
        <v>3963.1847089292528</v>
      </c>
      <c r="F625" s="12"/>
      <c r="G625" s="5">
        <v>0.81720000000000004</v>
      </c>
      <c r="H625" s="5">
        <v>17182</v>
      </c>
      <c r="I625" s="5">
        <v>0.37276700000000002</v>
      </c>
      <c r="J625" s="5">
        <v>-4.8750099999999996</v>
      </c>
      <c r="K625" s="5">
        <v>0.32987</v>
      </c>
    </row>
    <row r="626" spans="1:11" x14ac:dyDescent="0.35">
      <c r="A626" s="2">
        <v>52</v>
      </c>
      <c r="B626" s="2">
        <v>2</v>
      </c>
      <c r="C626" s="4">
        <v>6386.1480643522164</v>
      </c>
      <c r="D626" s="4">
        <v>1782.9799257271541</v>
      </c>
      <c r="E626" s="4">
        <v>-3866.558563323847</v>
      </c>
      <c r="F626" s="12" t="s">
        <v>4</v>
      </c>
      <c r="G626" s="5"/>
      <c r="H626" s="5"/>
      <c r="I626" s="5"/>
      <c r="J626" s="5"/>
      <c r="K626" s="5"/>
    </row>
    <row r="627" spans="1:11" x14ac:dyDescent="0.35">
      <c r="A627" s="2">
        <v>52</v>
      </c>
      <c r="B627" s="2">
        <v>3</v>
      </c>
      <c r="C627" s="4">
        <v>-760.59914347797599</v>
      </c>
      <c r="D627" s="4">
        <v>-1051.503209549378</v>
      </c>
      <c r="E627" s="4">
        <v>-2628.766075540826</v>
      </c>
      <c r="F627" s="9"/>
      <c r="G627" s="5">
        <v>0.84309999999999996</v>
      </c>
      <c r="H627" s="5" t="s">
        <v>42</v>
      </c>
      <c r="I627" s="5" t="s">
        <v>43</v>
      </c>
      <c r="J627" s="5">
        <f>-3.8205*10^8</f>
        <v>-382050000</v>
      </c>
      <c r="K627" s="5">
        <f>1.33405</f>
        <v>1.33405</v>
      </c>
    </row>
    <row r="628" spans="1:11" x14ac:dyDescent="0.35">
      <c r="A628" s="2">
        <v>52</v>
      </c>
      <c r="B628" s="2">
        <v>4</v>
      </c>
      <c r="C628" s="4">
        <v>-3359.6141367194718</v>
      </c>
      <c r="D628" s="4">
        <v>-2471.5041468627001</v>
      </c>
      <c r="E628" s="4">
        <v>2305.5285080591111</v>
      </c>
    </row>
    <row r="629" spans="1:11" x14ac:dyDescent="0.35">
      <c r="A629" s="2">
        <v>52</v>
      </c>
      <c r="B629" s="2">
        <v>5</v>
      </c>
      <c r="C629" s="4">
        <v>-3013.575262543548</v>
      </c>
      <c r="D629" s="4">
        <v>6324.8039980381391</v>
      </c>
      <c r="E629" s="4">
        <v>-579.24765949614562</v>
      </c>
    </row>
    <row r="630" spans="1:11" x14ac:dyDescent="0.35">
      <c r="A630" s="2">
        <v>52</v>
      </c>
      <c r="B630" s="2">
        <v>6</v>
      </c>
      <c r="C630" s="4">
        <v>-3565.344306224285</v>
      </c>
      <c r="D630" s="4">
        <v>4515.1703801636259</v>
      </c>
      <c r="E630" s="4">
        <v>262.23776676584322</v>
      </c>
    </row>
    <row r="631" spans="1:11" x14ac:dyDescent="0.35">
      <c r="A631" s="2">
        <v>52</v>
      </c>
      <c r="B631" s="2">
        <v>7</v>
      </c>
      <c r="C631" s="4">
        <v>-3912.5648532396658</v>
      </c>
      <c r="D631" s="4">
        <v>1182.761223532259</v>
      </c>
      <c r="E631" s="4">
        <v>2086.3562826314528</v>
      </c>
    </row>
    <row r="632" spans="1:11" x14ac:dyDescent="0.35">
      <c r="A632" s="2">
        <v>52</v>
      </c>
      <c r="B632" s="2">
        <v>8</v>
      </c>
      <c r="C632" s="4">
        <v>-2496.9127353120361</v>
      </c>
      <c r="D632" s="4">
        <v>-4272.630863471747</v>
      </c>
      <c r="E632" s="4">
        <v>942.51579979880671</v>
      </c>
      <c r="F632" s="3" t="s">
        <v>2</v>
      </c>
      <c r="G632" s="11" t="s">
        <v>5</v>
      </c>
      <c r="H632" s="11" t="s">
        <v>6</v>
      </c>
      <c r="I632" s="11" t="s">
        <v>7</v>
      </c>
      <c r="J632" s="11" t="s">
        <v>8</v>
      </c>
      <c r="K632" s="11" t="s">
        <v>9</v>
      </c>
    </row>
    <row r="633" spans="1:11" x14ac:dyDescent="0.35">
      <c r="A633" s="2">
        <v>52</v>
      </c>
      <c r="B633" s="2">
        <v>9</v>
      </c>
      <c r="C633" s="4">
        <v>-1102.435002672406</v>
      </c>
      <c r="D633" s="4">
        <v>-2779.9498271032949</v>
      </c>
      <c r="E633" s="4">
        <v>-1705.727489877009</v>
      </c>
      <c r="F633" s="12"/>
      <c r="G633" s="5">
        <v>0.81210000000000004</v>
      </c>
      <c r="H633" s="5">
        <v>3422.12</v>
      </c>
      <c r="I633" s="5">
        <v>1.3440300000000001</v>
      </c>
      <c r="J633" s="5">
        <v>1.98264</v>
      </c>
      <c r="K633" s="5">
        <v>2.5600999999999998</v>
      </c>
    </row>
    <row r="634" spans="1:11" x14ac:dyDescent="0.35">
      <c r="A634" s="2">
        <v>52</v>
      </c>
      <c r="B634" s="2">
        <v>10</v>
      </c>
      <c r="C634" s="4">
        <v>1813.3725021544999</v>
      </c>
      <c r="D634" s="4">
        <v>-4623.2361686595268</v>
      </c>
      <c r="E634" s="4">
        <v>-779.52327794675057</v>
      </c>
      <c r="F634" s="12" t="s">
        <v>3</v>
      </c>
      <c r="H634" s="5"/>
      <c r="I634" s="5"/>
      <c r="J634" s="5"/>
      <c r="K634" s="5"/>
    </row>
    <row r="635" spans="1:11" x14ac:dyDescent="0.35">
      <c r="F635" s="12"/>
      <c r="G635" s="5">
        <v>0.96209999999999996</v>
      </c>
      <c r="H635" s="5">
        <v>1511.82</v>
      </c>
      <c r="I635" s="5">
        <v>2.94489</v>
      </c>
      <c r="J635" s="5">
        <v>0.24407899999999999</v>
      </c>
      <c r="K635" s="5">
        <v>2.4608599999999998</v>
      </c>
    </row>
    <row r="636" spans="1:11" x14ac:dyDescent="0.35">
      <c r="F636" s="12" t="s">
        <v>4</v>
      </c>
      <c r="G636" s="5"/>
      <c r="H636" s="5"/>
      <c r="I636" s="5"/>
      <c r="J636" s="5"/>
      <c r="K636" s="5"/>
    </row>
    <row r="637" spans="1:11" x14ac:dyDescent="0.35">
      <c r="A637" s="2">
        <v>53</v>
      </c>
      <c r="B637" s="2">
        <v>1</v>
      </c>
      <c r="C637" s="4">
        <v>9430.874178762504</v>
      </c>
      <c r="D637" s="4">
        <v>2971.5627560763551</v>
      </c>
      <c r="E637" s="4">
        <v>-3554.6112565577059</v>
      </c>
      <c r="F637" s="9"/>
      <c r="G637" s="5">
        <v>0.66490000000000005</v>
      </c>
      <c r="H637" s="5" t="s">
        <v>44</v>
      </c>
      <c r="I637" s="5">
        <v>3.1415899999999999</v>
      </c>
      <c r="J637" s="5">
        <v>1</v>
      </c>
      <c r="K637" s="5">
        <f>0.903627</f>
        <v>0.90362699999999996</v>
      </c>
    </row>
    <row r="638" spans="1:11" x14ac:dyDescent="0.35">
      <c r="A638" s="2">
        <v>53</v>
      </c>
      <c r="B638" s="2">
        <v>2</v>
      </c>
      <c r="C638" s="4">
        <v>6374.4462735200441</v>
      </c>
      <c r="D638" s="4">
        <v>-1691.96515331761</v>
      </c>
      <c r="E638" s="4">
        <v>3483.769162526542</v>
      </c>
    </row>
    <row r="639" spans="1:11" x14ac:dyDescent="0.35">
      <c r="A639" s="2">
        <v>53</v>
      </c>
      <c r="B639" s="2">
        <v>3</v>
      </c>
      <c r="C639" s="4">
        <v>-2189.9039931773659</v>
      </c>
      <c r="D639" s="4">
        <v>-331.39598116679258</v>
      </c>
      <c r="E639" s="4">
        <v>-820.58457197177381</v>
      </c>
    </row>
    <row r="640" spans="1:11" x14ac:dyDescent="0.35">
      <c r="A640" s="2">
        <v>53</v>
      </c>
      <c r="B640" s="2">
        <v>4</v>
      </c>
      <c r="C640" s="4">
        <v>-2081.8502406664538</v>
      </c>
      <c r="D640" s="4">
        <v>-2876.5821194750779</v>
      </c>
      <c r="E640" s="4">
        <v>-548.26152924738381</v>
      </c>
    </row>
    <row r="641" spans="1:11" x14ac:dyDescent="0.35">
      <c r="A641" s="2">
        <v>53</v>
      </c>
      <c r="B641" s="2">
        <v>5</v>
      </c>
      <c r="C641" s="4">
        <v>-3108.157633131771</v>
      </c>
      <c r="D641" s="4">
        <v>4327.8768823240016</v>
      </c>
      <c r="E641" s="4">
        <v>-339.33164444286137</v>
      </c>
    </row>
    <row r="642" spans="1:11" x14ac:dyDescent="0.35">
      <c r="A642" s="2">
        <v>53</v>
      </c>
      <c r="B642" s="2">
        <v>6</v>
      </c>
      <c r="C642" s="4">
        <v>-2981.4979854518901</v>
      </c>
      <c r="D642" s="4">
        <v>-240.29062938261029</v>
      </c>
      <c r="E642" s="4">
        <v>-301.65960225011548</v>
      </c>
      <c r="F642" s="3" t="s">
        <v>2</v>
      </c>
      <c r="G642" s="11" t="s">
        <v>5</v>
      </c>
      <c r="H642" s="11" t="s">
        <v>6</v>
      </c>
      <c r="I642" s="11" t="s">
        <v>7</v>
      </c>
      <c r="J642" s="11" t="s">
        <v>8</v>
      </c>
      <c r="K642" s="11" t="s">
        <v>9</v>
      </c>
    </row>
    <row r="643" spans="1:11" x14ac:dyDescent="0.35">
      <c r="A643" s="2">
        <v>53</v>
      </c>
      <c r="B643" s="2">
        <v>7</v>
      </c>
      <c r="C643" s="4">
        <v>-3733.6253965367459</v>
      </c>
      <c r="D643" s="4">
        <v>7558.0056619332863</v>
      </c>
      <c r="E643" s="4">
        <v>-77.945823043559614</v>
      </c>
      <c r="F643" s="12"/>
      <c r="G643" s="5">
        <v>0.86980000000000002</v>
      </c>
      <c r="H643" s="5">
        <v>7935.9</v>
      </c>
      <c r="I643" s="5">
        <v>1.68855</v>
      </c>
      <c r="J643" s="5">
        <v>0.64317599999999997</v>
      </c>
      <c r="K643" s="5">
        <v>1.7842</v>
      </c>
    </row>
    <row r="644" spans="1:11" x14ac:dyDescent="0.35">
      <c r="A644" s="2">
        <v>53</v>
      </c>
      <c r="B644" s="2">
        <v>8</v>
      </c>
      <c r="C644" s="4">
        <v>-1660.0511821289499</v>
      </c>
      <c r="D644" s="4">
        <v>-4420.7564627892089</v>
      </c>
      <c r="E644" s="4">
        <v>-891.34836703039207</v>
      </c>
      <c r="F644" s="12" t="s">
        <v>3</v>
      </c>
      <c r="H644" s="5"/>
      <c r="I644" s="5"/>
      <c r="J644" s="5"/>
      <c r="K644" s="5"/>
    </row>
    <row r="645" spans="1:11" x14ac:dyDescent="0.35">
      <c r="A645" s="2">
        <v>53</v>
      </c>
      <c r="B645" s="2">
        <v>9</v>
      </c>
      <c r="C645" s="4">
        <v>-1067.700904979848</v>
      </c>
      <c r="D645" s="4">
        <v>-7218.0823874722719</v>
      </c>
      <c r="E645" s="4">
        <v>-743.12821292826072</v>
      </c>
      <c r="F645" s="12"/>
      <c r="G645" s="5">
        <v>0.9476</v>
      </c>
      <c r="H645" s="5">
        <v>3685.78</v>
      </c>
      <c r="I645" s="5">
        <v>1.2768699999999999</v>
      </c>
      <c r="J645" s="5">
        <v>-1.98132</v>
      </c>
      <c r="K645" s="5">
        <v>1.90211</v>
      </c>
    </row>
    <row r="646" spans="1:11" x14ac:dyDescent="0.35">
      <c r="A646" s="2">
        <v>53</v>
      </c>
      <c r="B646" s="2">
        <v>10</v>
      </c>
      <c r="C646" s="4">
        <v>1017.466883790991</v>
      </c>
      <c r="D646" s="4">
        <v>1921.6274332704691</v>
      </c>
      <c r="E646" s="4">
        <v>3793.101844946028</v>
      </c>
      <c r="F646" s="12" t="s">
        <v>4</v>
      </c>
      <c r="G646" s="5"/>
      <c r="H646" s="5"/>
      <c r="I646" s="5"/>
      <c r="J646" s="5"/>
      <c r="K646" s="5"/>
    </row>
    <row r="647" spans="1:11" x14ac:dyDescent="0.35">
      <c r="F647" s="9"/>
      <c r="G647" s="5">
        <v>0.7792</v>
      </c>
      <c r="H647" s="5">
        <v>4739.7700000000004</v>
      </c>
      <c r="I647" s="5">
        <v>2.9366699999999999</v>
      </c>
      <c r="J647" s="5">
        <v>0.60035400000000005</v>
      </c>
      <c r="K647" s="5">
        <v>0.92641300000000004</v>
      </c>
    </row>
    <row r="649" spans="1:11" x14ac:dyDescent="0.35">
      <c r="A649" s="2">
        <v>54</v>
      </c>
      <c r="B649" s="2">
        <v>1</v>
      </c>
      <c r="C649" s="4">
        <v>10315.34913327665</v>
      </c>
      <c r="D649" s="4">
        <v>71.309188508152658</v>
      </c>
      <c r="E649" s="4">
        <v>-3462.516981641922</v>
      </c>
    </row>
    <row r="650" spans="1:11" x14ac:dyDescent="0.35">
      <c r="A650" s="2">
        <v>54</v>
      </c>
      <c r="B650" s="2">
        <v>2</v>
      </c>
      <c r="C650" s="4">
        <v>9039.1029027899294</v>
      </c>
      <c r="D650" s="4">
        <v>-514.16885646695619</v>
      </c>
      <c r="E650" s="4">
        <v>4924.3508282861312</v>
      </c>
    </row>
    <row r="651" spans="1:11" x14ac:dyDescent="0.35">
      <c r="A651" s="2">
        <v>54</v>
      </c>
      <c r="B651" s="2">
        <v>3</v>
      </c>
      <c r="C651" s="4">
        <v>-2641.286922508421</v>
      </c>
      <c r="D651" s="4">
        <v>2984.9238441480279</v>
      </c>
      <c r="E651" s="4">
        <v>-1292.9254094511739</v>
      </c>
    </row>
    <row r="652" spans="1:11" x14ac:dyDescent="0.35">
      <c r="A652" s="2">
        <v>54</v>
      </c>
      <c r="B652" s="2">
        <v>4</v>
      </c>
      <c r="C652" s="4">
        <v>-3871.7085606913179</v>
      </c>
      <c r="D652" s="4">
        <v>74.638472528437831</v>
      </c>
      <c r="E652" s="4">
        <v>1026.9514840239369</v>
      </c>
      <c r="F652" s="3" t="s">
        <v>2</v>
      </c>
      <c r="G652" s="11" t="s">
        <v>5</v>
      </c>
      <c r="H652" s="11" t="s">
        <v>6</v>
      </c>
      <c r="I652" s="11" t="s">
        <v>7</v>
      </c>
      <c r="J652" s="11" t="s">
        <v>8</v>
      </c>
      <c r="K652" s="11" t="s">
        <v>9</v>
      </c>
    </row>
    <row r="653" spans="1:11" x14ac:dyDescent="0.35">
      <c r="A653" s="2">
        <v>54</v>
      </c>
      <c r="B653" s="2">
        <v>5</v>
      </c>
      <c r="C653" s="4">
        <v>-2339.3348794759499</v>
      </c>
      <c r="D653" s="4">
        <v>-2844.8297827699098</v>
      </c>
      <c r="E653" s="4">
        <v>213.2543425256016</v>
      </c>
      <c r="F653" s="12"/>
      <c r="G653" s="5">
        <v>0.82930000000000004</v>
      </c>
      <c r="H653" s="5">
        <v>20662</v>
      </c>
      <c r="I653" s="5">
        <v>1.77759</v>
      </c>
      <c r="J653" s="5">
        <v>-0.24088699999999999</v>
      </c>
      <c r="K653" s="5">
        <v>0.44553700000000002</v>
      </c>
    </row>
    <row r="654" spans="1:11" x14ac:dyDescent="0.35">
      <c r="A654" s="2">
        <v>54</v>
      </c>
      <c r="B654" s="2">
        <v>6</v>
      </c>
      <c r="C654" s="4">
        <v>-4508.6116566443879</v>
      </c>
      <c r="D654" s="4">
        <v>1114.580059019469</v>
      </c>
      <c r="E654" s="4">
        <v>1656.278522921144</v>
      </c>
      <c r="F654" s="12" t="s">
        <v>3</v>
      </c>
      <c r="H654" s="5"/>
      <c r="I654" s="5"/>
      <c r="J654" s="5"/>
      <c r="K654" s="5"/>
    </row>
    <row r="655" spans="1:11" x14ac:dyDescent="0.35">
      <c r="A655" s="2">
        <v>54</v>
      </c>
      <c r="B655" s="2">
        <v>7</v>
      </c>
      <c r="C655" s="4">
        <v>-3522.735001898659</v>
      </c>
      <c r="D655" s="4">
        <v>-279.48766190792281</v>
      </c>
      <c r="E655" s="4">
        <v>723.41835626075908</v>
      </c>
      <c r="F655" s="12"/>
      <c r="G655" s="5">
        <v>0.93700000000000006</v>
      </c>
      <c r="H655" s="5" t="s">
        <v>45</v>
      </c>
      <c r="I655" s="5">
        <v>3.1415899999999999</v>
      </c>
      <c r="J655" s="5">
        <f>-4.2989*10^-12</f>
        <v>-4.2988999999999998E-12</v>
      </c>
      <c r="K655" s="5">
        <v>2.3013599999999999</v>
      </c>
    </row>
    <row r="656" spans="1:11" x14ac:dyDescent="0.35">
      <c r="A656" s="2">
        <v>54</v>
      </c>
      <c r="B656" s="2">
        <v>8</v>
      </c>
      <c r="C656" s="4">
        <v>-2363.230831282196</v>
      </c>
      <c r="D656" s="4">
        <v>-1759.402132538585</v>
      </c>
      <c r="E656" s="4">
        <v>-685.3949016033049</v>
      </c>
      <c r="F656" s="12" t="s">
        <v>4</v>
      </c>
      <c r="G656" s="5"/>
      <c r="H656" s="5"/>
      <c r="I656" s="5"/>
      <c r="J656" s="5"/>
      <c r="K656" s="5"/>
    </row>
    <row r="657" spans="1:11" x14ac:dyDescent="0.35">
      <c r="A657" s="2">
        <v>54</v>
      </c>
      <c r="B657" s="2">
        <v>9</v>
      </c>
      <c r="C657" s="4">
        <v>-520.31728167868039</v>
      </c>
      <c r="D657" s="4">
        <v>-5183.9936388732276</v>
      </c>
      <c r="E657" s="4">
        <v>-2081.7801925789809</v>
      </c>
      <c r="F657" s="9"/>
      <c r="G657" s="5">
        <v>0.81310000000000004</v>
      </c>
      <c r="H657" s="5">
        <v>1252.6099999999999</v>
      </c>
      <c r="I657" s="5">
        <v>1.86113</v>
      </c>
      <c r="J657" s="5">
        <v>0.91372200000000003</v>
      </c>
      <c r="K657" s="5">
        <v>2.7126199999999998</v>
      </c>
    </row>
    <row r="658" spans="1:11" x14ac:dyDescent="0.35">
      <c r="A658" s="2">
        <v>54</v>
      </c>
      <c r="B658" s="2">
        <v>10</v>
      </c>
      <c r="C658" s="4">
        <v>412.77309811346731</v>
      </c>
      <c r="D658" s="4">
        <v>6336.4305083530471</v>
      </c>
      <c r="E658" s="4">
        <v>-1021.6360487422201</v>
      </c>
    </row>
    <row r="661" spans="1:11" x14ac:dyDescent="0.35">
      <c r="A661" s="2">
        <v>55</v>
      </c>
      <c r="B661" s="2">
        <v>1</v>
      </c>
      <c r="C661" s="4">
        <v>10260.25466952161</v>
      </c>
      <c r="D661" s="4">
        <v>-996.83526326111974</v>
      </c>
      <c r="E661" s="4">
        <v>-3525.8357378525161</v>
      </c>
    </row>
    <row r="662" spans="1:11" x14ac:dyDescent="0.35">
      <c r="A662" s="2">
        <v>55</v>
      </c>
      <c r="B662" s="2">
        <v>2</v>
      </c>
      <c r="C662" s="4">
        <v>9900.1441089269756</v>
      </c>
      <c r="D662" s="4">
        <v>4802.6054496012566</v>
      </c>
      <c r="E662" s="4">
        <v>-1235.610555613521</v>
      </c>
      <c r="F662" s="3" t="s">
        <v>2</v>
      </c>
      <c r="G662" s="11" t="s">
        <v>5</v>
      </c>
      <c r="H662" s="11" t="s">
        <v>6</v>
      </c>
      <c r="I662" s="11" t="s">
        <v>7</v>
      </c>
      <c r="J662" s="11" t="s">
        <v>8</v>
      </c>
      <c r="K662" s="11" t="s">
        <v>9</v>
      </c>
    </row>
    <row r="663" spans="1:11" x14ac:dyDescent="0.35">
      <c r="A663" s="2">
        <v>55</v>
      </c>
      <c r="B663" s="2">
        <v>3</v>
      </c>
      <c r="C663" s="4">
        <v>3695.0015912537569</v>
      </c>
      <c r="D663" s="4">
        <v>-1731.7307658455311</v>
      </c>
      <c r="E663" s="4">
        <v>2809.7292311206629</v>
      </c>
      <c r="F663" s="12"/>
      <c r="G663" s="5">
        <v>0.67130000000000001</v>
      </c>
      <c r="H663" s="5">
        <v>4219.78</v>
      </c>
      <c r="I663" s="5">
        <v>0.225631</v>
      </c>
      <c r="J663" s="5">
        <v>-6.7315699999999996</v>
      </c>
      <c r="K663" s="5">
        <v>2.1081799999999999</v>
      </c>
    </row>
    <row r="664" spans="1:11" x14ac:dyDescent="0.35">
      <c r="A664" s="2">
        <v>55</v>
      </c>
      <c r="B664" s="2">
        <v>4</v>
      </c>
      <c r="C664" s="4">
        <v>-5205.5100982306494</v>
      </c>
      <c r="D664" s="4">
        <v>2064.843046724226</v>
      </c>
      <c r="E664" s="4">
        <v>-601.55936258107897</v>
      </c>
      <c r="F664" s="12" t="s">
        <v>3</v>
      </c>
      <c r="H664" s="5"/>
      <c r="I664" s="5"/>
      <c r="J664" s="5"/>
      <c r="K664" s="5"/>
    </row>
    <row r="665" spans="1:11" x14ac:dyDescent="0.35">
      <c r="A665" s="2">
        <v>55</v>
      </c>
      <c r="B665" s="2">
        <v>5</v>
      </c>
      <c r="C665" s="4">
        <v>-5423.2538761928317</v>
      </c>
      <c r="D665" s="4">
        <v>1805.1585486458821</v>
      </c>
      <c r="E665" s="4">
        <v>-826.07943018569745</v>
      </c>
      <c r="F665" s="12"/>
      <c r="G665" s="5">
        <v>0.90669999999999995</v>
      </c>
      <c r="H665" s="5" t="s">
        <v>46</v>
      </c>
      <c r="I665" s="5" t="s">
        <v>47</v>
      </c>
      <c r="J665" s="5">
        <f>-1.5109*10^8</f>
        <v>-151090000</v>
      </c>
      <c r="K665" s="5">
        <v>0.91882200000000003</v>
      </c>
    </row>
    <row r="666" spans="1:11" x14ac:dyDescent="0.35">
      <c r="A666" s="2">
        <v>55</v>
      </c>
      <c r="B666" s="2">
        <v>6</v>
      </c>
      <c r="C666" s="4">
        <v>-5159.9201638805534</v>
      </c>
      <c r="D666" s="4">
        <v>-6623.8737593741826</v>
      </c>
      <c r="E666" s="4">
        <v>-1374.534395389971</v>
      </c>
      <c r="F666" s="12" t="s">
        <v>4</v>
      </c>
      <c r="G666" s="5"/>
      <c r="H666" s="5"/>
      <c r="I666" s="5"/>
      <c r="J666" s="5"/>
      <c r="K666" s="5"/>
    </row>
    <row r="667" spans="1:11" x14ac:dyDescent="0.35">
      <c r="A667" s="2">
        <v>55</v>
      </c>
      <c r="B667" s="2">
        <v>7</v>
      </c>
      <c r="C667" s="4">
        <v>-5061.1820310482644</v>
      </c>
      <c r="D667" s="4">
        <v>-4664.2869278349726</v>
      </c>
      <c r="E667" s="4">
        <v>-1202.208342394483</v>
      </c>
      <c r="F667" s="9"/>
      <c r="G667" s="5">
        <v>0.8206</v>
      </c>
      <c r="H667" s="5">
        <v>1674.52</v>
      </c>
      <c r="I667" s="5">
        <v>2.7431999999999999</v>
      </c>
      <c r="J667" s="5">
        <v>1.0103899999999999</v>
      </c>
      <c r="K667" s="5">
        <v>2.59985</v>
      </c>
    </row>
    <row r="668" spans="1:11" x14ac:dyDescent="0.35">
      <c r="A668" s="2">
        <v>55</v>
      </c>
      <c r="B668" s="2">
        <v>8</v>
      </c>
      <c r="C668" s="4">
        <v>-4433.6355664301109</v>
      </c>
      <c r="D668" s="4">
        <v>1647.4925383134721</v>
      </c>
      <c r="E668" s="4">
        <v>339.88578300088483</v>
      </c>
    </row>
    <row r="669" spans="1:11" x14ac:dyDescent="0.35">
      <c r="A669" s="2">
        <v>55</v>
      </c>
      <c r="B669" s="2">
        <v>9</v>
      </c>
      <c r="C669" s="4">
        <v>-4756.2993655635009</v>
      </c>
      <c r="D669" s="4">
        <v>7652.5328609711933</v>
      </c>
      <c r="E669" s="4">
        <v>1461.3127503126841</v>
      </c>
    </row>
    <row r="670" spans="1:11" x14ac:dyDescent="0.35">
      <c r="A670" s="2">
        <v>55</v>
      </c>
      <c r="B670" s="2">
        <v>10</v>
      </c>
      <c r="C670" s="4">
        <v>6184.4007316424722</v>
      </c>
      <c r="D670" s="4">
        <v>-3955.9057279396479</v>
      </c>
      <c r="E670" s="4">
        <v>4154.9000595829593</v>
      </c>
    </row>
    <row r="672" spans="1:11" x14ac:dyDescent="0.35">
      <c r="F672" s="3" t="s">
        <v>2</v>
      </c>
      <c r="G672" s="11" t="s">
        <v>5</v>
      </c>
      <c r="H672" s="11" t="s">
        <v>6</v>
      </c>
      <c r="I672" s="11" t="s">
        <v>7</v>
      </c>
      <c r="J672" s="11" t="s">
        <v>8</v>
      </c>
      <c r="K672" s="11" t="s">
        <v>9</v>
      </c>
    </row>
    <row r="673" spans="1:11" x14ac:dyDescent="0.35">
      <c r="A673" s="2">
        <v>56</v>
      </c>
      <c r="B673" s="2">
        <v>1</v>
      </c>
      <c r="C673" s="4">
        <v>10704.65115875107</v>
      </c>
      <c r="D673" s="4">
        <v>-1511.561584499221</v>
      </c>
      <c r="E673" s="4">
        <v>-1604.586210359493</v>
      </c>
      <c r="F673" s="12"/>
      <c r="G673" s="5">
        <v>0.85109999999999997</v>
      </c>
      <c r="H673" s="5" t="s">
        <v>48</v>
      </c>
      <c r="I673" s="5" t="s">
        <v>49</v>
      </c>
      <c r="J673" s="5">
        <v>5.5194599999999996</v>
      </c>
      <c r="K673" s="5">
        <v>2.12961</v>
      </c>
    </row>
    <row r="674" spans="1:11" x14ac:dyDescent="0.35">
      <c r="A674" s="2">
        <v>56</v>
      </c>
      <c r="B674" s="2">
        <v>2</v>
      </c>
      <c r="C674" s="4">
        <v>648.23154072101147</v>
      </c>
      <c r="D674" s="4">
        <v>-580.91071691464606</v>
      </c>
      <c r="E674" s="4">
        <v>4173.0921333045553</v>
      </c>
      <c r="F674" s="12" t="s">
        <v>3</v>
      </c>
      <c r="H674" s="5"/>
      <c r="I674" s="5"/>
      <c r="J674" s="5"/>
      <c r="K674" s="5"/>
    </row>
    <row r="675" spans="1:11" x14ac:dyDescent="0.35">
      <c r="A675" s="2">
        <v>56</v>
      </c>
      <c r="B675" s="2">
        <v>3</v>
      </c>
      <c r="C675" s="4">
        <v>-1302.424499291265</v>
      </c>
      <c r="D675" s="4">
        <v>709.00093190100745</v>
      </c>
      <c r="E675" s="4">
        <v>81.569274130274962</v>
      </c>
      <c r="F675" s="12"/>
      <c r="G675" s="5">
        <v>0.86799999999999999</v>
      </c>
      <c r="H675" s="5" t="s">
        <v>50</v>
      </c>
      <c r="I675" s="5" t="s">
        <v>51</v>
      </c>
      <c r="J675" s="5">
        <f>-3.7242*10^8</f>
        <v>-372420000</v>
      </c>
      <c r="K675" s="5">
        <v>0.92860500000000001</v>
      </c>
    </row>
    <row r="676" spans="1:11" x14ac:dyDescent="0.35">
      <c r="A676" s="2">
        <v>56</v>
      </c>
      <c r="B676" s="2">
        <v>4</v>
      </c>
      <c r="C676" s="4">
        <v>-2223.22258480439</v>
      </c>
      <c r="D676" s="4">
        <v>-2922.8716018804412</v>
      </c>
      <c r="E676" s="4">
        <v>-373.87694779739508</v>
      </c>
      <c r="F676" s="12" t="s">
        <v>4</v>
      </c>
      <c r="G676" s="5"/>
      <c r="H676" s="5"/>
      <c r="I676" s="5"/>
      <c r="J676" s="5"/>
      <c r="K676" s="5"/>
    </row>
    <row r="677" spans="1:11" x14ac:dyDescent="0.35">
      <c r="A677" s="2">
        <v>56</v>
      </c>
      <c r="B677" s="2">
        <v>5</v>
      </c>
      <c r="C677" s="4">
        <v>-1544.2936705352629</v>
      </c>
      <c r="D677" s="4">
        <v>3986.6207155259121</v>
      </c>
      <c r="E677" s="4">
        <v>-2266.283645217663</v>
      </c>
      <c r="F677" s="9"/>
      <c r="G677" s="5">
        <v>0.89419999999999999</v>
      </c>
      <c r="H677" s="5">
        <v>2217.59</v>
      </c>
      <c r="I677" s="5">
        <v>2.6257199999999998</v>
      </c>
      <c r="J677" s="5">
        <v>0.88963300000000001</v>
      </c>
      <c r="K677" s="5">
        <v>2.5697899999999998</v>
      </c>
    </row>
    <row r="678" spans="1:11" x14ac:dyDescent="0.35">
      <c r="A678" s="2">
        <v>56</v>
      </c>
      <c r="B678" s="2">
        <v>6</v>
      </c>
      <c r="C678" s="4">
        <v>-1917.689849166683</v>
      </c>
      <c r="D678" s="4">
        <v>-414.39005047359927</v>
      </c>
      <c r="E678" s="4">
        <v>-1383.8186786069871</v>
      </c>
    </row>
    <row r="679" spans="1:11" x14ac:dyDescent="0.35">
      <c r="A679" s="2">
        <v>56</v>
      </c>
      <c r="B679" s="2">
        <v>7</v>
      </c>
      <c r="C679" s="4">
        <v>-2132.9580041711129</v>
      </c>
      <c r="D679" s="4">
        <v>-1391.955322315873</v>
      </c>
      <c r="E679" s="4">
        <v>-1536.1978560347241</v>
      </c>
    </row>
    <row r="680" spans="1:11" x14ac:dyDescent="0.35">
      <c r="A680" s="2">
        <v>56</v>
      </c>
      <c r="B680" s="2">
        <v>8</v>
      </c>
      <c r="C680" s="4">
        <v>-2740.5725589196868</v>
      </c>
      <c r="D680" s="4">
        <v>-5432.7441798456148</v>
      </c>
      <c r="E680" s="4">
        <v>-118.9650521824677</v>
      </c>
    </row>
    <row r="681" spans="1:11" x14ac:dyDescent="0.35">
      <c r="A681" s="2">
        <v>56</v>
      </c>
      <c r="B681" s="2">
        <v>9</v>
      </c>
      <c r="C681" s="4">
        <v>-639.60779283022782</v>
      </c>
      <c r="D681" s="4">
        <v>5700.7721955090192</v>
      </c>
      <c r="E681" s="4">
        <v>-287.09862020096853</v>
      </c>
    </row>
    <row r="682" spans="1:11" x14ac:dyDescent="0.35">
      <c r="A682" s="2">
        <v>56</v>
      </c>
      <c r="B682" s="2">
        <v>10</v>
      </c>
      <c r="C682" s="4">
        <v>1147.8862602452141</v>
      </c>
      <c r="D682" s="4">
        <v>1858.03961299348</v>
      </c>
      <c r="E682" s="4">
        <v>3316.1656029654791</v>
      </c>
      <c r="F682" s="3" t="s">
        <v>2</v>
      </c>
      <c r="G682" s="11" t="s">
        <v>5</v>
      </c>
      <c r="H682" s="11" t="s">
        <v>6</v>
      </c>
      <c r="I682" s="11" t="s">
        <v>7</v>
      </c>
      <c r="J682" s="11" t="s">
        <v>8</v>
      </c>
      <c r="K682" s="11" t="s">
        <v>9</v>
      </c>
    </row>
    <row r="683" spans="1:11" x14ac:dyDescent="0.35">
      <c r="F683" s="12"/>
      <c r="G683" s="5">
        <v>0.75329999999999997</v>
      </c>
      <c r="H683" s="5">
        <v>3321.26</v>
      </c>
      <c r="I683" s="5">
        <v>0.38952399999999998</v>
      </c>
      <c r="J683" s="5">
        <v>-0.298483</v>
      </c>
      <c r="K683" s="5">
        <v>1.9460500000000001</v>
      </c>
    </row>
    <row r="684" spans="1:11" x14ac:dyDescent="0.35">
      <c r="F684" s="12" t="s">
        <v>3</v>
      </c>
      <c r="H684" s="5"/>
      <c r="I684" s="5"/>
      <c r="J684" s="5"/>
      <c r="K684" s="5"/>
    </row>
    <row r="685" spans="1:11" x14ac:dyDescent="0.35">
      <c r="A685" s="2">
        <v>57</v>
      </c>
      <c r="B685" s="2">
        <v>1</v>
      </c>
      <c r="C685" s="4">
        <v>11673.654497915801</v>
      </c>
      <c r="D685" s="4">
        <v>-1885.223793830686</v>
      </c>
      <c r="E685" s="4">
        <v>-1871.3386543264919</v>
      </c>
      <c r="F685" s="12"/>
      <c r="G685" s="5">
        <v>0.8367</v>
      </c>
      <c r="H685" s="5">
        <v>3691.12</v>
      </c>
      <c r="I685" s="5">
        <v>1.2436499999999999</v>
      </c>
      <c r="J685" s="5">
        <v>-2.2585000000000002</v>
      </c>
      <c r="K685" s="5">
        <v>1.89361</v>
      </c>
    </row>
    <row r="686" spans="1:11" x14ac:dyDescent="0.35">
      <c r="A686" s="2">
        <v>57</v>
      </c>
      <c r="B686" s="2">
        <v>2</v>
      </c>
      <c r="C686" s="4">
        <v>88.751938378612067</v>
      </c>
      <c r="D686" s="4">
        <v>10203.474769970569</v>
      </c>
      <c r="E686" s="4">
        <v>-1693.2743343137031</v>
      </c>
      <c r="F686" s="12" t="s">
        <v>4</v>
      </c>
      <c r="G686" s="5"/>
      <c r="H686" s="5"/>
      <c r="I686" s="5"/>
      <c r="J686" s="5"/>
      <c r="K686" s="5"/>
    </row>
    <row r="687" spans="1:11" x14ac:dyDescent="0.35">
      <c r="A687" s="2">
        <v>57</v>
      </c>
      <c r="B687" s="2">
        <v>3</v>
      </c>
      <c r="C687" s="4">
        <v>3164.083805731213</v>
      </c>
      <c r="D687" s="4">
        <v>5936.6712172220887</v>
      </c>
      <c r="E687" s="4">
        <v>2285.6203075351659</v>
      </c>
      <c r="F687" s="9"/>
      <c r="G687" s="5">
        <v>0.86660000000000004</v>
      </c>
      <c r="H687" s="5" t="s">
        <v>52</v>
      </c>
      <c r="I687" s="5">
        <v>3.1415899999999999</v>
      </c>
      <c r="J687" s="5">
        <f>-1.8944*10^-7</f>
        <v>-1.8944000000000001E-7</v>
      </c>
      <c r="K687" s="5">
        <v>2.04691</v>
      </c>
    </row>
    <row r="688" spans="1:11" x14ac:dyDescent="0.35">
      <c r="A688" s="2">
        <v>57</v>
      </c>
      <c r="B688" s="2">
        <v>4</v>
      </c>
      <c r="C688" s="4">
        <v>-8022.7752719115406</v>
      </c>
      <c r="D688" s="4">
        <v>2687.2042239910079</v>
      </c>
      <c r="E688" s="4">
        <v>1297.230960281403</v>
      </c>
    </row>
    <row r="689" spans="1:11" x14ac:dyDescent="0.35">
      <c r="A689" s="2">
        <v>57</v>
      </c>
      <c r="B689" s="2">
        <v>5</v>
      </c>
      <c r="C689" s="4">
        <v>-4363.3457324385327</v>
      </c>
      <c r="D689" s="4">
        <v>-4455.8724886430073</v>
      </c>
      <c r="E689" s="4">
        <v>-1277.196789064405</v>
      </c>
    </row>
    <row r="690" spans="1:11" x14ac:dyDescent="0.35">
      <c r="A690" s="2">
        <v>57</v>
      </c>
      <c r="B690" s="2">
        <v>6</v>
      </c>
      <c r="C690" s="4">
        <v>-6101.2864851290733</v>
      </c>
      <c r="D690" s="4">
        <v>-2110.1280832952662</v>
      </c>
      <c r="E690" s="4">
        <v>-1095.3135644025781</v>
      </c>
    </row>
    <row r="691" spans="1:11" x14ac:dyDescent="0.35">
      <c r="A691" s="2">
        <v>57</v>
      </c>
      <c r="B691" s="2">
        <v>7</v>
      </c>
      <c r="C691" s="4">
        <v>-738.69944156724262</v>
      </c>
      <c r="D691" s="4">
        <v>-9119.8297313022595</v>
      </c>
      <c r="E691" s="4">
        <v>-1638.275176611799</v>
      </c>
    </row>
    <row r="692" spans="1:11" x14ac:dyDescent="0.35">
      <c r="A692" s="2">
        <v>57</v>
      </c>
      <c r="B692" s="2">
        <v>8</v>
      </c>
      <c r="C692" s="4">
        <v>-8010.7001150420574</v>
      </c>
      <c r="D692" s="4">
        <v>1277.8815108089809</v>
      </c>
      <c r="E692" s="4">
        <v>45.632250836907971</v>
      </c>
      <c r="F692" s="3" t="s">
        <v>2</v>
      </c>
      <c r="G692" s="11" t="s">
        <v>5</v>
      </c>
      <c r="H692" s="11" t="s">
        <v>6</v>
      </c>
      <c r="I692" s="11" t="s">
        <v>7</v>
      </c>
      <c r="J692" s="11" t="s">
        <v>8</v>
      </c>
      <c r="K692" s="11" t="s">
        <v>9</v>
      </c>
    </row>
    <row r="693" spans="1:11" x14ac:dyDescent="0.35">
      <c r="A693" s="2">
        <v>57</v>
      </c>
      <c r="B693" s="2">
        <v>9</v>
      </c>
      <c r="C693" s="4">
        <v>4406.6852458219018</v>
      </c>
      <c r="D693" s="4">
        <v>-4314.8200089931815</v>
      </c>
      <c r="E693" s="4">
        <v>5468.8117527905206</v>
      </c>
      <c r="F693" s="12"/>
      <c r="G693" s="5">
        <v>0.74229999999999996</v>
      </c>
      <c r="H693" s="5" t="s">
        <v>53</v>
      </c>
      <c r="I693" s="5">
        <v>3.1415899999999999</v>
      </c>
      <c r="J693" s="5">
        <v>1</v>
      </c>
      <c r="K693" s="5">
        <v>2.2037499999999999</v>
      </c>
    </row>
    <row r="694" spans="1:11" x14ac:dyDescent="0.35">
      <c r="A694" s="2">
        <v>57</v>
      </c>
      <c r="B694" s="2">
        <v>10</v>
      </c>
      <c r="C694" s="4">
        <v>7903.631558241249</v>
      </c>
      <c r="D694" s="4">
        <v>1780.6423840712951</v>
      </c>
      <c r="E694" s="4">
        <v>-1521.8967527251059</v>
      </c>
      <c r="F694" s="12" t="s">
        <v>3</v>
      </c>
      <c r="H694" s="5"/>
      <c r="I694" s="5"/>
      <c r="J694" s="5"/>
      <c r="K694" s="5"/>
    </row>
    <row r="695" spans="1:11" x14ac:dyDescent="0.35">
      <c r="F695" s="12"/>
      <c r="G695" s="5">
        <v>0.81950000000000001</v>
      </c>
      <c r="H695" s="5" t="s">
        <v>54</v>
      </c>
      <c r="I695" s="5" t="s">
        <v>55</v>
      </c>
      <c r="J695" s="5">
        <f>-5.7535*10^8</f>
        <v>-575350000</v>
      </c>
      <c r="K695" s="5">
        <v>0.94439399999999996</v>
      </c>
    </row>
    <row r="696" spans="1:11" x14ac:dyDescent="0.35">
      <c r="F696" s="12" t="s">
        <v>4</v>
      </c>
      <c r="G696" s="5"/>
      <c r="H696" s="5"/>
      <c r="I696" s="5"/>
      <c r="J696" s="5"/>
      <c r="K696" s="5"/>
    </row>
    <row r="697" spans="1:11" x14ac:dyDescent="0.35">
      <c r="A697" s="2">
        <v>58</v>
      </c>
      <c r="B697" s="2">
        <v>1</v>
      </c>
      <c r="C697" s="4">
        <v>8310.5242211108762</v>
      </c>
      <c r="D697" s="4">
        <v>9194.3260160326518</v>
      </c>
      <c r="E697" s="4">
        <v>-659.41516700979446</v>
      </c>
      <c r="F697" s="9"/>
      <c r="G697" s="5">
        <v>0.87519999999999998</v>
      </c>
      <c r="H697" s="5">
        <v>7887.83</v>
      </c>
      <c r="I697" s="5">
        <v>1.5663</v>
      </c>
      <c r="J697" s="5">
        <v>-0.166157</v>
      </c>
      <c r="K697" s="5">
        <f>0.446415</f>
        <v>0.44641500000000001</v>
      </c>
    </row>
    <row r="698" spans="1:11" x14ac:dyDescent="0.35">
      <c r="A698" s="2">
        <v>58</v>
      </c>
      <c r="B698" s="2">
        <v>2</v>
      </c>
      <c r="C698" s="4">
        <v>-7992.6298940919951</v>
      </c>
      <c r="D698" s="4">
        <v>1498.254914328058</v>
      </c>
      <c r="E698" s="4">
        <v>-3310.412796493054</v>
      </c>
    </row>
    <row r="699" spans="1:11" x14ac:dyDescent="0.35">
      <c r="A699" s="2">
        <v>58</v>
      </c>
      <c r="B699" s="2">
        <v>3</v>
      </c>
      <c r="C699" s="4">
        <v>-2338.8802272972521</v>
      </c>
      <c r="D699" s="4">
        <v>2726.9342649511991</v>
      </c>
      <c r="E699" s="4">
        <v>2649.2179959521468</v>
      </c>
    </row>
    <row r="700" spans="1:11" x14ac:dyDescent="0.35">
      <c r="A700" s="2">
        <v>58</v>
      </c>
      <c r="B700" s="2">
        <v>4</v>
      </c>
      <c r="C700" s="4">
        <v>-2287.8562677952841</v>
      </c>
      <c r="D700" s="4">
        <v>702.0215829828486</v>
      </c>
      <c r="E700" s="4">
        <v>1476.483530080423</v>
      </c>
    </row>
    <row r="701" spans="1:11" x14ac:dyDescent="0.35">
      <c r="A701" s="2">
        <v>58</v>
      </c>
      <c r="B701" s="2">
        <v>5</v>
      </c>
      <c r="C701" s="4">
        <v>4068.9074326591558</v>
      </c>
      <c r="D701" s="4">
        <v>-4116.6137938109168</v>
      </c>
      <c r="E701" s="4">
        <v>-274.06504286691421</v>
      </c>
    </row>
    <row r="702" spans="1:11" x14ac:dyDescent="0.35">
      <c r="A702" s="2">
        <v>58</v>
      </c>
      <c r="B702" s="2">
        <v>6</v>
      </c>
      <c r="C702" s="4">
        <v>10948.76037130477</v>
      </c>
      <c r="D702" s="4">
        <v>-1259.220658987377</v>
      </c>
      <c r="E702" s="4">
        <v>504.09788081070951</v>
      </c>
      <c r="F702" s="3" t="s">
        <v>2</v>
      </c>
      <c r="G702" s="11" t="s">
        <v>5</v>
      </c>
      <c r="H702" s="11" t="s">
        <v>6</v>
      </c>
      <c r="I702" s="11" t="s">
        <v>7</v>
      </c>
      <c r="J702" s="11" t="s">
        <v>8</v>
      </c>
      <c r="K702" s="11" t="s">
        <v>9</v>
      </c>
    </row>
    <row r="703" spans="1:11" x14ac:dyDescent="0.35">
      <c r="A703" s="2">
        <v>58</v>
      </c>
      <c r="B703" s="2">
        <v>7</v>
      </c>
      <c r="C703" s="4">
        <v>2015.3299134388899</v>
      </c>
      <c r="D703" s="4">
        <v>-5859.9390408036716</v>
      </c>
      <c r="E703" s="4">
        <v>-447.57216264194</v>
      </c>
      <c r="F703" s="12"/>
      <c r="G703" s="5">
        <v>0.80959999999999999</v>
      </c>
      <c r="H703" s="5">
        <v>4340.5600000000004</v>
      </c>
      <c r="I703" s="5">
        <v>2.5084300000000002</v>
      </c>
      <c r="J703" s="5">
        <v>-0.48141800000000001</v>
      </c>
      <c r="K703" s="5">
        <v>1.3136099999999999</v>
      </c>
    </row>
    <row r="704" spans="1:11" x14ac:dyDescent="0.35">
      <c r="A704" s="2">
        <v>58</v>
      </c>
      <c r="B704" s="2">
        <v>8</v>
      </c>
      <c r="C704" s="4">
        <v>-12.40555097366167</v>
      </c>
      <c r="D704" s="4">
        <v>-5617.1993869949129</v>
      </c>
      <c r="E704" s="4">
        <v>-878.24253813012365</v>
      </c>
      <c r="F704" s="12" t="s">
        <v>3</v>
      </c>
      <c r="H704" s="5"/>
      <c r="I704" s="5"/>
      <c r="J704" s="5"/>
      <c r="K704" s="5"/>
    </row>
    <row r="705" spans="1:11" x14ac:dyDescent="0.35">
      <c r="A705" s="2">
        <v>58</v>
      </c>
      <c r="B705" s="2">
        <v>9</v>
      </c>
      <c r="C705" s="4">
        <v>-7828.6051559786129</v>
      </c>
      <c r="D705" s="4">
        <v>283.66537654810378</v>
      </c>
      <c r="E705" s="4">
        <v>3506.384242765756</v>
      </c>
      <c r="F705" s="12"/>
      <c r="G705" s="5">
        <v>0.96379999999999999</v>
      </c>
      <c r="H705" s="5">
        <v>1939.01</v>
      </c>
      <c r="I705" s="5">
        <v>1.2304299999999999</v>
      </c>
      <c r="J705" s="5">
        <v>-2.3256700000000001</v>
      </c>
      <c r="K705" s="5">
        <v>1.9021399999999999</v>
      </c>
    </row>
    <row r="706" spans="1:11" x14ac:dyDescent="0.35">
      <c r="A706" s="2">
        <v>58</v>
      </c>
      <c r="B706" s="2">
        <v>10</v>
      </c>
      <c r="C706" s="4">
        <v>-4883.1448423771326</v>
      </c>
      <c r="D706" s="4">
        <v>2447.7707257536431</v>
      </c>
      <c r="E706" s="4">
        <v>-2566.4759424673571</v>
      </c>
      <c r="F706" s="12" t="s">
        <v>4</v>
      </c>
      <c r="G706" s="5"/>
      <c r="H706" s="5"/>
      <c r="I706" s="5"/>
      <c r="J706" s="5"/>
      <c r="K706" s="5"/>
    </row>
    <row r="707" spans="1:11" x14ac:dyDescent="0.35">
      <c r="F707" s="9"/>
      <c r="G707" s="5">
        <v>0.80569999999999997</v>
      </c>
      <c r="H707" s="5"/>
      <c r="I707" s="5"/>
      <c r="J707" s="5"/>
      <c r="K707" s="5"/>
    </row>
    <row r="709" spans="1:11" x14ac:dyDescent="0.35">
      <c r="A709" s="2">
        <v>59</v>
      </c>
      <c r="B709" s="2">
        <v>1</v>
      </c>
      <c r="C709" s="4">
        <v>-1740.36232897593</v>
      </c>
      <c r="D709" s="4">
        <v>4571.8313220999207</v>
      </c>
      <c r="E709" s="4">
        <v>4274.1021181874466</v>
      </c>
    </row>
    <row r="710" spans="1:11" x14ac:dyDescent="0.35">
      <c r="A710" s="2">
        <v>59</v>
      </c>
      <c r="B710" s="2">
        <v>2</v>
      </c>
      <c r="C710" s="4">
        <v>-2739.227960132494</v>
      </c>
      <c r="D710" s="4">
        <v>3324.450041306096</v>
      </c>
      <c r="E710" s="4">
        <v>-2093.084166138769</v>
      </c>
    </row>
    <row r="711" spans="1:11" x14ac:dyDescent="0.35">
      <c r="A711" s="2">
        <v>59</v>
      </c>
      <c r="B711" s="2">
        <v>3</v>
      </c>
      <c r="C711" s="4">
        <v>-5922.7611200371884</v>
      </c>
      <c r="D711" s="4">
        <v>-259.36987874093342</v>
      </c>
      <c r="E711" s="4">
        <v>968.82227338414634</v>
      </c>
    </row>
    <row r="712" spans="1:11" x14ac:dyDescent="0.35">
      <c r="A712" s="2">
        <v>59</v>
      </c>
      <c r="B712" s="2">
        <v>4</v>
      </c>
      <c r="C712" s="4">
        <v>10589.69942965496</v>
      </c>
      <c r="D712" s="4">
        <v>-1362.5726735405051</v>
      </c>
      <c r="E712" s="4">
        <v>463.7065526362386</v>
      </c>
      <c r="F712" s="3" t="s">
        <v>2</v>
      </c>
      <c r="G712" s="11" t="s">
        <v>5</v>
      </c>
      <c r="H712" s="11" t="s">
        <v>6</v>
      </c>
      <c r="I712" s="11" t="s">
        <v>7</v>
      </c>
      <c r="J712" s="11" t="s">
        <v>8</v>
      </c>
      <c r="K712" s="11" t="s">
        <v>9</v>
      </c>
    </row>
    <row r="713" spans="1:11" x14ac:dyDescent="0.35">
      <c r="A713" s="2">
        <v>59</v>
      </c>
      <c r="B713" s="2">
        <v>5</v>
      </c>
      <c r="C713" s="4">
        <v>1628.5080164304979</v>
      </c>
      <c r="D713" s="4">
        <v>-2176.7466840798552</v>
      </c>
      <c r="E713" s="4">
        <v>443.31640201063692</v>
      </c>
      <c r="F713" s="12"/>
      <c r="G713" s="5">
        <v>0.88990000000000002</v>
      </c>
      <c r="H713" s="5">
        <v>14967.5</v>
      </c>
      <c r="I713" s="5">
        <v>1.1798</v>
      </c>
      <c r="J713" s="5">
        <v>1.5621</v>
      </c>
      <c r="K713" s="5">
        <v>1.9660599999999999</v>
      </c>
    </row>
    <row r="714" spans="1:11" x14ac:dyDescent="0.35">
      <c r="A714" s="2">
        <v>59</v>
      </c>
      <c r="B714" s="2">
        <v>6</v>
      </c>
      <c r="C714" s="4">
        <v>-4325.3120790271078</v>
      </c>
      <c r="D714" s="4">
        <v>-2713.632385904476</v>
      </c>
      <c r="E714" s="4">
        <v>-540.78848327840012</v>
      </c>
      <c r="F714" s="12" t="s">
        <v>3</v>
      </c>
      <c r="H714" s="5"/>
      <c r="I714" s="5"/>
      <c r="J714" s="5"/>
      <c r="K714" s="5"/>
    </row>
    <row r="715" spans="1:11" x14ac:dyDescent="0.35">
      <c r="A715" s="2">
        <v>59</v>
      </c>
      <c r="B715" s="2">
        <v>7</v>
      </c>
      <c r="C715" s="4">
        <v>-6437.1345410470722</v>
      </c>
      <c r="D715" s="4">
        <v>-2742.1161766159389</v>
      </c>
      <c r="E715" s="4">
        <v>-312.80562091321917</v>
      </c>
      <c r="F715" s="12"/>
      <c r="G715" s="5">
        <v>0.77210000000000001</v>
      </c>
      <c r="H715" s="5">
        <v>1934.66</v>
      </c>
      <c r="I715" s="5">
        <v>0.54491000000000001</v>
      </c>
      <c r="J715" s="5">
        <v>1.9415800000000001</v>
      </c>
      <c r="K715" s="5">
        <v>2.5068999999999999</v>
      </c>
    </row>
    <row r="716" spans="1:11" x14ac:dyDescent="0.35">
      <c r="A716" s="2">
        <v>59</v>
      </c>
      <c r="B716" s="2">
        <v>8</v>
      </c>
      <c r="C716" s="4">
        <v>1358.5690715411411</v>
      </c>
      <c r="D716" s="4">
        <v>-2194.610402409166</v>
      </c>
      <c r="E716" s="4">
        <v>672.88940546794345</v>
      </c>
      <c r="F716" s="12" t="s">
        <v>4</v>
      </c>
      <c r="G716" s="5"/>
      <c r="H716" s="5"/>
      <c r="I716" s="5"/>
      <c r="J716" s="5"/>
      <c r="K716" s="5"/>
    </row>
    <row r="717" spans="1:11" x14ac:dyDescent="0.35">
      <c r="A717" s="2">
        <v>59</v>
      </c>
      <c r="B717" s="2">
        <v>9</v>
      </c>
      <c r="C717" s="4">
        <v>6559.3422641217521</v>
      </c>
      <c r="D717" s="4">
        <v>621.83553112557036</v>
      </c>
      <c r="E717" s="4">
        <v>96.04697226319206</v>
      </c>
      <c r="F717" s="9"/>
      <c r="G717" s="5">
        <v>0.87250000000000005</v>
      </c>
      <c r="H717" s="5">
        <v>1138</v>
      </c>
      <c r="I717" s="5">
        <v>0.85739200000000004</v>
      </c>
      <c r="J717" s="5">
        <v>-1.9889399999999999</v>
      </c>
      <c r="K717" s="5">
        <v>2.34233</v>
      </c>
    </row>
    <row r="718" spans="1:11" x14ac:dyDescent="0.35">
      <c r="A718" s="2">
        <v>59</v>
      </c>
      <c r="B718" s="2">
        <v>10</v>
      </c>
      <c r="C718" s="4">
        <v>1028.679247471656</v>
      </c>
      <c r="D718" s="4">
        <v>2930.931306758403</v>
      </c>
      <c r="E718" s="4">
        <v>-3972.2054536189798</v>
      </c>
    </row>
    <row r="721" spans="1:11" x14ac:dyDescent="0.35">
      <c r="A721" s="2">
        <v>60</v>
      </c>
      <c r="B721" s="2">
        <v>1</v>
      </c>
      <c r="C721" s="4">
        <v>-2462.430436462198</v>
      </c>
      <c r="D721" s="4">
        <v>-4019.0158638763019</v>
      </c>
      <c r="E721" s="4">
        <v>-1327.433480361077</v>
      </c>
    </row>
    <row r="722" spans="1:11" x14ac:dyDescent="0.35">
      <c r="A722" s="2">
        <v>60</v>
      </c>
      <c r="B722" s="2">
        <v>2</v>
      </c>
      <c r="C722" s="4">
        <v>-1129.271084890323</v>
      </c>
      <c r="D722" s="4">
        <v>-3853.944226160474</v>
      </c>
      <c r="E722" s="4">
        <v>121.2041948564072</v>
      </c>
      <c r="F722" s="3" t="s">
        <v>2</v>
      </c>
      <c r="G722" s="11" t="s">
        <v>5</v>
      </c>
      <c r="H722" s="11" t="s">
        <v>6</v>
      </c>
      <c r="I722" s="11" t="s">
        <v>7</v>
      </c>
      <c r="J722" s="11" t="s">
        <v>8</v>
      </c>
      <c r="K722" s="11" t="s">
        <v>9</v>
      </c>
    </row>
    <row r="723" spans="1:11" x14ac:dyDescent="0.35">
      <c r="A723" s="2">
        <v>60</v>
      </c>
      <c r="B723" s="2">
        <v>3</v>
      </c>
      <c r="C723" s="4">
        <v>-3772.9643000916931</v>
      </c>
      <c r="D723" s="4">
        <v>4279.5213932058114</v>
      </c>
      <c r="E723" s="4">
        <v>250.63272208814249</v>
      </c>
      <c r="F723" s="12"/>
      <c r="G723" s="5">
        <v>0.73540000000000005</v>
      </c>
      <c r="H723" s="5" t="s">
        <v>56</v>
      </c>
      <c r="I723" s="5">
        <v>3.1415899999999999</v>
      </c>
      <c r="J723" s="5">
        <v>1</v>
      </c>
      <c r="K723" s="5">
        <v>2.1441400000000002</v>
      </c>
    </row>
    <row r="724" spans="1:11" x14ac:dyDescent="0.35">
      <c r="A724" s="2">
        <v>60</v>
      </c>
      <c r="B724" s="2">
        <v>4</v>
      </c>
      <c r="C724" s="4">
        <v>-38.292609314347892</v>
      </c>
      <c r="D724" s="4">
        <v>2735.9617903422291</v>
      </c>
      <c r="E724" s="4">
        <v>-1626.8585882109071</v>
      </c>
      <c r="F724" s="12" t="s">
        <v>3</v>
      </c>
      <c r="H724" s="5"/>
      <c r="I724" s="5"/>
      <c r="J724" s="5"/>
      <c r="K724" s="5"/>
    </row>
    <row r="725" spans="1:11" x14ac:dyDescent="0.35">
      <c r="A725" s="2">
        <v>60</v>
      </c>
      <c r="B725" s="2">
        <v>5</v>
      </c>
      <c r="C725" s="4">
        <v>4424.737493602177</v>
      </c>
      <c r="D725" s="4">
        <v>-936.53133260715811</v>
      </c>
      <c r="E725" s="4">
        <v>175.93472954510619</v>
      </c>
      <c r="F725" s="12"/>
      <c r="G725" s="5">
        <v>0.84719999999999995</v>
      </c>
      <c r="H725" s="5">
        <v>4892.3500000000004</v>
      </c>
      <c r="I725" s="5">
        <v>1.9444999999999999</v>
      </c>
      <c r="J725" s="5">
        <v>0.89870899999999998</v>
      </c>
      <c r="K725" s="5">
        <v>1.04023</v>
      </c>
    </row>
    <row r="726" spans="1:11" x14ac:dyDescent="0.35">
      <c r="A726" s="2">
        <v>60</v>
      </c>
      <c r="B726" s="2">
        <v>6</v>
      </c>
      <c r="C726" s="4">
        <v>1172.458388442353</v>
      </c>
      <c r="D726" s="4">
        <v>2004.4542743781481</v>
      </c>
      <c r="E726" s="4">
        <v>-1288.0647615428099</v>
      </c>
      <c r="F726" s="12" t="s">
        <v>4</v>
      </c>
      <c r="G726" s="5"/>
      <c r="H726" s="5"/>
      <c r="I726" s="5"/>
      <c r="J726" s="5"/>
      <c r="K726" s="5"/>
    </row>
    <row r="727" spans="1:11" x14ac:dyDescent="0.35">
      <c r="A727" s="2">
        <v>60</v>
      </c>
      <c r="B727" s="2">
        <v>7</v>
      </c>
      <c r="C727" s="4">
        <v>3973.1225191675971</v>
      </c>
      <c r="D727" s="4">
        <v>-570.49128897611774</v>
      </c>
      <c r="E727" s="4">
        <v>70.688347223352181</v>
      </c>
      <c r="F727" s="9"/>
      <c r="G727" s="5">
        <v>0.8034</v>
      </c>
      <c r="H727" s="5">
        <v>1105.92</v>
      </c>
      <c r="I727" s="5">
        <v>1.53986</v>
      </c>
      <c r="J727" s="5">
        <v>-1.86921</v>
      </c>
      <c r="K727" s="5">
        <v>2.69651</v>
      </c>
    </row>
    <row r="728" spans="1:11" x14ac:dyDescent="0.35">
      <c r="A728" s="2">
        <v>60</v>
      </c>
      <c r="B728" s="2">
        <v>8</v>
      </c>
      <c r="C728" s="4">
        <v>2126.0939985123141</v>
      </c>
      <c r="D728" s="4">
        <v>1090.528084965244</v>
      </c>
      <c r="E728" s="4">
        <v>-625.19655821076219</v>
      </c>
    </row>
    <row r="729" spans="1:11" x14ac:dyDescent="0.35">
      <c r="A729" s="2">
        <v>60</v>
      </c>
      <c r="B729" s="2">
        <v>9</v>
      </c>
      <c r="C729" s="4">
        <v>-513.81758166638679</v>
      </c>
      <c r="D729" s="4">
        <v>301.12722155305931</v>
      </c>
      <c r="E729" s="4">
        <v>4774.1870882589392</v>
      </c>
    </row>
    <row r="730" spans="1:11" x14ac:dyDescent="0.35">
      <c r="A730" s="2">
        <v>60</v>
      </c>
      <c r="B730" s="2">
        <v>10</v>
      </c>
      <c r="C730" s="4">
        <v>-3779.636387299578</v>
      </c>
      <c r="D730" s="4">
        <v>-1031.610052824401</v>
      </c>
      <c r="E730" s="4">
        <v>-525.09369364590043</v>
      </c>
    </row>
    <row r="732" spans="1:11" x14ac:dyDescent="0.35">
      <c r="F732" s="3" t="s">
        <v>2</v>
      </c>
      <c r="G732" s="11" t="s">
        <v>5</v>
      </c>
      <c r="H732" s="11" t="s">
        <v>6</v>
      </c>
      <c r="I732" s="11" t="s">
        <v>7</v>
      </c>
      <c r="J732" s="11" t="s">
        <v>8</v>
      </c>
      <c r="K732" s="11" t="s">
        <v>9</v>
      </c>
    </row>
    <row r="733" spans="1:11" x14ac:dyDescent="0.35">
      <c r="A733" s="2">
        <v>61</v>
      </c>
      <c r="B733" s="2">
        <v>1</v>
      </c>
      <c r="C733" s="4">
        <v>-4315.7038377479694</v>
      </c>
      <c r="D733" s="4">
        <v>4897.1256445572008</v>
      </c>
      <c r="E733" s="4">
        <v>3874.8195852031681</v>
      </c>
      <c r="F733" s="12"/>
      <c r="G733" s="5">
        <v>0.81759999999999999</v>
      </c>
      <c r="H733" s="5">
        <v>5027.78</v>
      </c>
      <c r="I733" s="5">
        <v>0.563249</v>
      </c>
      <c r="J733" s="5">
        <v>-2.9765700000000002</v>
      </c>
      <c r="K733" s="5">
        <v>2.1731099999999999</v>
      </c>
    </row>
    <row r="734" spans="1:11" x14ac:dyDescent="0.35">
      <c r="A734" s="2">
        <v>61</v>
      </c>
      <c r="B734" s="2">
        <v>2</v>
      </c>
      <c r="C734" s="4">
        <v>6011.3308089644815</v>
      </c>
      <c r="D734" s="4">
        <v>2713.1370384180182</v>
      </c>
      <c r="E734" s="4">
        <v>-1235.0337404191</v>
      </c>
      <c r="F734" s="12" t="s">
        <v>3</v>
      </c>
      <c r="H734" s="5"/>
      <c r="I734" s="5"/>
      <c r="J734" s="5"/>
      <c r="K734" s="5"/>
    </row>
    <row r="735" spans="1:11" x14ac:dyDescent="0.35">
      <c r="A735" s="2">
        <v>61</v>
      </c>
      <c r="B735" s="2">
        <v>3</v>
      </c>
      <c r="C735" s="4">
        <v>-3332.006605878134</v>
      </c>
      <c r="D735" s="4">
        <v>155.32969892866981</v>
      </c>
      <c r="E735" s="4">
        <v>-1016.5331870757529</v>
      </c>
      <c r="F735" s="12"/>
      <c r="G735" s="5">
        <v>0.78639999999999999</v>
      </c>
      <c r="H735" s="5">
        <v>1523.38</v>
      </c>
      <c r="I735" s="5">
        <v>2.0569600000000001</v>
      </c>
      <c r="J735" s="5">
        <v>-0.26748899999999998</v>
      </c>
      <c r="K735" s="5">
        <v>2.7395499999999999</v>
      </c>
    </row>
    <row r="736" spans="1:11" x14ac:dyDescent="0.35">
      <c r="A736" s="2">
        <v>61</v>
      </c>
      <c r="B736" s="2">
        <v>4</v>
      </c>
      <c r="C736" s="4">
        <v>6140.8242337824167</v>
      </c>
      <c r="D736" s="4">
        <v>-2704.1679918936138</v>
      </c>
      <c r="E736" s="4">
        <v>1677.2877877933549</v>
      </c>
      <c r="F736" s="12" t="s">
        <v>4</v>
      </c>
      <c r="G736" s="5"/>
      <c r="H736" s="5"/>
      <c r="I736" s="5"/>
      <c r="J736" s="5"/>
      <c r="K736" s="5"/>
    </row>
    <row r="737" spans="1:11" x14ac:dyDescent="0.35">
      <c r="A737" s="2">
        <v>61</v>
      </c>
      <c r="B737" s="2">
        <v>5</v>
      </c>
      <c r="C737" s="4">
        <v>-1095.3336422342149</v>
      </c>
      <c r="D737" s="4">
        <v>-2319.1912359146932</v>
      </c>
      <c r="E737" s="4">
        <v>-78.52775040030734</v>
      </c>
      <c r="F737" s="9"/>
      <c r="G737" s="5">
        <v>0.8931</v>
      </c>
      <c r="H737" s="5">
        <v>1181.99</v>
      </c>
      <c r="I737" s="5">
        <v>1.5984499999999999</v>
      </c>
      <c r="J737" s="5">
        <v>-1.8623700000000001</v>
      </c>
      <c r="K737" s="5">
        <v>2.66601</v>
      </c>
    </row>
    <row r="738" spans="1:11" x14ac:dyDescent="0.35">
      <c r="A738" s="2">
        <v>61</v>
      </c>
      <c r="B738" s="2">
        <v>6</v>
      </c>
      <c r="C738" s="4">
        <v>-6999.1422478560871</v>
      </c>
      <c r="D738" s="4">
        <v>-1736.7430266737749</v>
      </c>
      <c r="E738" s="4">
        <v>-776.48708999417784</v>
      </c>
    </row>
    <row r="739" spans="1:11" x14ac:dyDescent="0.35">
      <c r="A739" s="2">
        <v>61</v>
      </c>
      <c r="B739" s="2">
        <v>7</v>
      </c>
      <c r="C739" s="4">
        <v>-6713.4365813879358</v>
      </c>
      <c r="D739" s="4">
        <v>-1849.427257864894</v>
      </c>
      <c r="E739" s="4">
        <v>-548.5792021144855</v>
      </c>
    </row>
    <row r="740" spans="1:11" x14ac:dyDescent="0.35">
      <c r="A740" s="2">
        <v>61</v>
      </c>
      <c r="B740" s="2">
        <v>8</v>
      </c>
      <c r="C740" s="4">
        <v>1836.136370757434</v>
      </c>
      <c r="D740" s="4">
        <v>-2255.4350779904939</v>
      </c>
      <c r="E740" s="4">
        <v>1953.4040521566019</v>
      </c>
    </row>
    <row r="741" spans="1:11" x14ac:dyDescent="0.35">
      <c r="A741" s="2">
        <v>61</v>
      </c>
      <c r="B741" s="2">
        <v>9</v>
      </c>
      <c r="C741" s="4">
        <v>9875.71658219647</v>
      </c>
      <c r="D741" s="4">
        <v>296.23477023403268</v>
      </c>
      <c r="E741" s="4">
        <v>-687.10444320412694</v>
      </c>
    </row>
    <row r="742" spans="1:11" x14ac:dyDescent="0.35">
      <c r="A742" s="2">
        <v>61</v>
      </c>
      <c r="B742" s="2">
        <v>10</v>
      </c>
      <c r="C742" s="4">
        <v>-1408.385080595725</v>
      </c>
      <c r="D742" s="4">
        <v>2803.1374381998689</v>
      </c>
      <c r="E742" s="4">
        <v>-3163.2460119451412</v>
      </c>
      <c r="F742" s="3" t="s">
        <v>2</v>
      </c>
      <c r="G742" s="11" t="s">
        <v>5</v>
      </c>
      <c r="H742" s="11" t="s">
        <v>6</v>
      </c>
      <c r="I742" s="11" t="s">
        <v>7</v>
      </c>
      <c r="J742" s="11" t="s">
        <v>8</v>
      </c>
      <c r="K742" s="11" t="s">
        <v>9</v>
      </c>
    </row>
    <row r="743" spans="1:11" x14ac:dyDescent="0.35">
      <c r="F743" s="12"/>
      <c r="G743" s="5">
        <v>0.83320000000000005</v>
      </c>
      <c r="H743" s="5">
        <v>4938.3500000000004</v>
      </c>
      <c r="I743" s="5">
        <v>0.68430500000000005</v>
      </c>
      <c r="J743" s="5">
        <v>-1.10897</v>
      </c>
      <c r="K743" s="5">
        <v>1.89198</v>
      </c>
    </row>
    <row r="744" spans="1:11" x14ac:dyDescent="0.35">
      <c r="F744" s="12" t="s">
        <v>3</v>
      </c>
      <c r="H744" s="5"/>
      <c r="I744" s="5"/>
      <c r="J744" s="5"/>
      <c r="K744" s="5"/>
    </row>
    <row r="745" spans="1:11" x14ac:dyDescent="0.35">
      <c r="A745" s="2">
        <v>62</v>
      </c>
      <c r="B745" s="2">
        <v>1</v>
      </c>
      <c r="C745" s="4">
        <v>12050.94108499928</v>
      </c>
      <c r="D745" s="4">
        <v>322.3832571024904</v>
      </c>
      <c r="E745" s="4">
        <v>-3276.1025338713648</v>
      </c>
      <c r="F745" s="12"/>
      <c r="G745" s="5">
        <v>0.92679999999999996</v>
      </c>
      <c r="H745" s="5">
        <v>3941.44</v>
      </c>
      <c r="I745" s="5">
        <v>1.2358800000000001</v>
      </c>
      <c r="J745" s="5">
        <v>-2.33399</v>
      </c>
      <c r="K745" s="5">
        <v>1.9028400000000001</v>
      </c>
    </row>
    <row r="746" spans="1:11" x14ac:dyDescent="0.35">
      <c r="A746" s="2">
        <v>62</v>
      </c>
      <c r="B746" s="2">
        <v>2</v>
      </c>
      <c r="C746" s="4">
        <v>4156.1427702887431</v>
      </c>
      <c r="D746" s="4">
        <v>1948.3053144495609</v>
      </c>
      <c r="E746" s="4">
        <v>783.67831468968348</v>
      </c>
      <c r="F746" s="12" t="s">
        <v>4</v>
      </c>
      <c r="G746" s="5"/>
      <c r="H746" s="5"/>
      <c r="I746" s="5"/>
      <c r="J746" s="5"/>
      <c r="K746" s="5"/>
    </row>
    <row r="747" spans="1:11" x14ac:dyDescent="0.35">
      <c r="A747" s="2">
        <v>62</v>
      </c>
      <c r="B747" s="2">
        <v>3</v>
      </c>
      <c r="C747" s="4">
        <v>3194.877040111583</v>
      </c>
      <c r="D747" s="4">
        <v>1217.126594708913</v>
      </c>
      <c r="E747" s="4">
        <v>4204.964499033933</v>
      </c>
      <c r="F747" s="9"/>
      <c r="G747" s="5">
        <v>0.94730000000000003</v>
      </c>
      <c r="H747" s="5">
        <v>4373.3</v>
      </c>
      <c r="I747" s="5">
        <v>1.0137799999999999</v>
      </c>
      <c r="J747" s="5">
        <v>-2.7742100000000001</v>
      </c>
      <c r="K747" s="5">
        <v>1.06162</v>
      </c>
    </row>
    <row r="748" spans="1:11" x14ac:dyDescent="0.35">
      <c r="A748" s="2">
        <v>62</v>
      </c>
      <c r="B748" s="2">
        <v>4</v>
      </c>
      <c r="C748" s="4">
        <v>-3734.3101148323208</v>
      </c>
      <c r="D748" s="4">
        <v>-1275.898501084949</v>
      </c>
      <c r="E748" s="4">
        <v>-791.99731800090342</v>
      </c>
    </row>
    <row r="749" spans="1:11" x14ac:dyDescent="0.35">
      <c r="A749" s="2">
        <v>62</v>
      </c>
      <c r="B749" s="2">
        <v>5</v>
      </c>
      <c r="C749" s="4">
        <v>-1235.137812964206</v>
      </c>
      <c r="D749" s="4">
        <v>-2871.2859165882269</v>
      </c>
      <c r="E749" s="4">
        <v>223.77553980488119</v>
      </c>
    </row>
    <row r="750" spans="1:11" x14ac:dyDescent="0.35">
      <c r="A750" s="2">
        <v>62</v>
      </c>
      <c r="B750" s="2">
        <v>6</v>
      </c>
      <c r="C750" s="4">
        <v>-2659.8181219857461</v>
      </c>
      <c r="D750" s="4">
        <v>-2432.1500438078701</v>
      </c>
      <c r="E750" s="4">
        <v>148.85786556263099</v>
      </c>
    </row>
    <row r="751" spans="1:11" x14ac:dyDescent="0.35">
      <c r="A751" s="2">
        <v>62</v>
      </c>
      <c r="B751" s="2">
        <v>7</v>
      </c>
      <c r="C751" s="4">
        <v>3142.8713901069632</v>
      </c>
      <c r="D751" s="4">
        <v>-3355.4693115250502</v>
      </c>
      <c r="E751" s="4">
        <v>714.9408452636859</v>
      </c>
    </row>
    <row r="752" spans="1:11" x14ac:dyDescent="0.35">
      <c r="A752" s="2">
        <v>62</v>
      </c>
      <c r="B752" s="2">
        <v>8</v>
      </c>
      <c r="C752" s="4">
        <v>-9861.8469548603134</v>
      </c>
      <c r="D752" s="4">
        <v>363.70624346032503</v>
      </c>
      <c r="E752" s="4">
        <v>-1583.104855043244</v>
      </c>
      <c r="F752" s="3" t="s">
        <v>2</v>
      </c>
      <c r="G752" s="11" t="s">
        <v>5</v>
      </c>
      <c r="H752" s="11" t="s">
        <v>6</v>
      </c>
      <c r="I752" s="11" t="s">
        <v>7</v>
      </c>
      <c r="J752" s="11" t="s">
        <v>8</v>
      </c>
      <c r="K752" s="11" t="s">
        <v>9</v>
      </c>
    </row>
    <row r="753" spans="1:11" x14ac:dyDescent="0.35">
      <c r="A753" s="2">
        <v>62</v>
      </c>
      <c r="B753" s="2">
        <v>9</v>
      </c>
      <c r="C753" s="4">
        <v>-1703.149265855232</v>
      </c>
      <c r="D753" s="4">
        <v>2345.453974333238</v>
      </c>
      <c r="E753" s="4">
        <v>740.62526600906597</v>
      </c>
      <c r="F753" s="12"/>
      <c r="G753" s="5">
        <v>0.70799999999999996</v>
      </c>
      <c r="H753" s="5">
        <v>14286.1</v>
      </c>
      <c r="I753" s="5">
        <v>2.36477</v>
      </c>
      <c r="J753" s="5">
        <v>-0.54952800000000002</v>
      </c>
      <c r="K753" s="5">
        <v>0.50622800000000001</v>
      </c>
    </row>
    <row r="754" spans="1:11" x14ac:dyDescent="0.35">
      <c r="A754" s="2">
        <v>62</v>
      </c>
      <c r="B754" s="2">
        <v>10</v>
      </c>
      <c r="C754" s="4">
        <v>-3350.570015009198</v>
      </c>
      <c r="D754" s="4">
        <v>3737.828388951536</v>
      </c>
      <c r="E754" s="4">
        <v>-1165.637623448082</v>
      </c>
      <c r="F754" s="12" t="s">
        <v>3</v>
      </c>
      <c r="H754" s="5"/>
      <c r="I754" s="5"/>
      <c r="J754" s="5"/>
      <c r="K754" s="5"/>
    </row>
    <row r="755" spans="1:11" x14ac:dyDescent="0.35">
      <c r="F755" s="12"/>
      <c r="G755" s="5">
        <v>0.96550000000000002</v>
      </c>
      <c r="H755" s="5">
        <v>3603.75</v>
      </c>
      <c r="I755" s="5">
        <v>1.25708</v>
      </c>
      <c r="J755" s="5">
        <v>-2.1539000000000001</v>
      </c>
      <c r="K755" s="5">
        <v>1.8944700000000001</v>
      </c>
    </row>
    <row r="756" spans="1:11" x14ac:dyDescent="0.35">
      <c r="F756" s="12" t="s">
        <v>4</v>
      </c>
      <c r="G756" s="5"/>
      <c r="H756" s="5"/>
      <c r="I756" s="5"/>
      <c r="J756" s="5"/>
      <c r="K756" s="5"/>
    </row>
    <row r="757" spans="1:11" x14ac:dyDescent="0.35">
      <c r="A757" s="2">
        <v>63</v>
      </c>
      <c r="B757" s="2">
        <v>1</v>
      </c>
      <c r="C757" s="4">
        <v>-1310.1368106065991</v>
      </c>
      <c r="D757" s="4">
        <v>5138.7142143602177</v>
      </c>
      <c r="E757" s="4">
        <v>3878.306505349397</v>
      </c>
      <c r="F757" s="9"/>
      <c r="G757" s="5">
        <v>0.76700000000000002</v>
      </c>
      <c r="H757" s="5">
        <v>3005.31</v>
      </c>
      <c r="I757" s="5">
        <v>0.31310300000000002</v>
      </c>
      <c r="J757" s="5">
        <v>3.5205099999999998</v>
      </c>
      <c r="K757" s="5">
        <v>0.78465099999999999</v>
      </c>
    </row>
    <row r="758" spans="1:11" x14ac:dyDescent="0.35">
      <c r="A758" s="2">
        <v>63</v>
      </c>
      <c r="B758" s="2">
        <v>2</v>
      </c>
      <c r="C758" s="4">
        <v>3342.3936996111661</v>
      </c>
      <c r="D758" s="4">
        <v>2469.883486285441</v>
      </c>
      <c r="E758" s="4">
        <v>-2240.3333895407509</v>
      </c>
    </row>
    <row r="759" spans="1:11" x14ac:dyDescent="0.35">
      <c r="A759" s="2">
        <v>63</v>
      </c>
      <c r="B759" s="2">
        <v>3</v>
      </c>
      <c r="C759" s="4">
        <v>-1277.242421630734</v>
      </c>
      <c r="D759" s="4">
        <v>548.91505187178143</v>
      </c>
      <c r="E759" s="4">
        <v>-2156.0496704787579</v>
      </c>
    </row>
    <row r="760" spans="1:11" x14ac:dyDescent="0.35">
      <c r="A760" s="2">
        <v>63</v>
      </c>
      <c r="B760" s="2">
        <v>4</v>
      </c>
      <c r="C760" s="4">
        <v>7572.2452956764037</v>
      </c>
      <c r="D760" s="4">
        <v>-2067.3117542484511</v>
      </c>
      <c r="E760" s="4">
        <v>1044.260504545276</v>
      </c>
    </row>
    <row r="761" spans="1:11" x14ac:dyDescent="0.35">
      <c r="A761" s="2">
        <v>63</v>
      </c>
      <c r="B761" s="2">
        <v>5</v>
      </c>
      <c r="C761" s="4">
        <v>-2111.0144902219431</v>
      </c>
      <c r="D761" s="4">
        <v>-2391.0357809141392</v>
      </c>
      <c r="E761" s="4">
        <v>866.67875827969954</v>
      </c>
    </row>
    <row r="762" spans="1:11" x14ac:dyDescent="0.35">
      <c r="A762" s="2">
        <v>63</v>
      </c>
      <c r="B762" s="2">
        <v>6</v>
      </c>
      <c r="C762" s="4">
        <v>-4705.6402820139274</v>
      </c>
      <c r="D762" s="4">
        <v>-1979.1982682238679</v>
      </c>
      <c r="E762" s="4">
        <v>1271.2592619571899</v>
      </c>
      <c r="F762" s="3" t="s">
        <v>2</v>
      </c>
      <c r="G762" s="11" t="s">
        <v>5</v>
      </c>
      <c r="H762" s="11" t="s">
        <v>6</v>
      </c>
      <c r="I762" s="11" t="s">
        <v>7</v>
      </c>
      <c r="J762" s="11" t="s">
        <v>8</v>
      </c>
      <c r="K762" s="11" t="s">
        <v>9</v>
      </c>
    </row>
    <row r="763" spans="1:11" x14ac:dyDescent="0.35">
      <c r="A763" s="2">
        <v>63</v>
      </c>
      <c r="B763" s="2">
        <v>7</v>
      </c>
      <c r="C763" s="4">
        <v>-1432.2484696832321</v>
      </c>
      <c r="D763" s="4">
        <v>-1957.736936047552</v>
      </c>
      <c r="E763" s="4">
        <v>797.53447571333857</v>
      </c>
      <c r="F763" s="12"/>
      <c r="G763" s="5">
        <v>0.8448</v>
      </c>
      <c r="H763" s="5">
        <v>6774.39</v>
      </c>
      <c r="I763" s="5">
        <v>2.0082399999999998</v>
      </c>
      <c r="J763" s="5">
        <v>0.24127799999999999</v>
      </c>
      <c r="K763" s="5">
        <v>1.42086</v>
      </c>
    </row>
    <row r="764" spans="1:11" x14ac:dyDescent="0.35">
      <c r="A764" s="2">
        <v>63</v>
      </c>
      <c r="B764" s="2">
        <v>8</v>
      </c>
      <c r="C764" s="4">
        <v>4556.0871109947439</v>
      </c>
      <c r="D764" s="4">
        <v>-1668.9135058756731</v>
      </c>
      <c r="E764" s="4">
        <v>544.61453798094999</v>
      </c>
      <c r="F764" s="12" t="s">
        <v>3</v>
      </c>
      <c r="H764" s="5"/>
      <c r="I764" s="5"/>
      <c r="J764" s="5"/>
      <c r="K764" s="5"/>
    </row>
    <row r="765" spans="1:11" x14ac:dyDescent="0.35">
      <c r="A765" s="2">
        <v>63</v>
      </c>
      <c r="B765" s="2">
        <v>9</v>
      </c>
      <c r="C765" s="4">
        <v>-7303.9090961588436</v>
      </c>
      <c r="D765" s="4">
        <v>-18.188679634934221</v>
      </c>
      <c r="E765" s="4">
        <v>-1912.6136200515291</v>
      </c>
      <c r="F765" s="12"/>
      <c r="G765" s="5">
        <v>0.75629999999999997</v>
      </c>
      <c r="H765" s="5">
        <v>2492.98</v>
      </c>
      <c r="I765" s="5">
        <v>2.0442300000000002</v>
      </c>
      <c r="J765" s="5">
        <v>-0.37859399999999999</v>
      </c>
      <c r="K765" s="5">
        <v>1.4306399999999999</v>
      </c>
    </row>
    <row r="766" spans="1:11" x14ac:dyDescent="0.35">
      <c r="A766" s="2">
        <v>63</v>
      </c>
      <c r="B766" s="2">
        <v>10</v>
      </c>
      <c r="C766" s="4">
        <v>2669.4654640329841</v>
      </c>
      <c r="D766" s="4">
        <v>1924.872172427715</v>
      </c>
      <c r="E766" s="4">
        <v>-2093.6573637545739</v>
      </c>
      <c r="F766" s="12" t="s">
        <v>4</v>
      </c>
      <c r="G766" s="5"/>
      <c r="H766" s="5"/>
      <c r="I766" s="5"/>
      <c r="J766" s="5"/>
      <c r="K766" s="5"/>
    </row>
    <row r="767" spans="1:11" x14ac:dyDescent="0.35">
      <c r="F767" s="9"/>
      <c r="G767" s="5">
        <v>0.8095</v>
      </c>
      <c r="H767" s="5">
        <v>1036.44</v>
      </c>
      <c r="I767" s="5">
        <v>1.6658500000000001</v>
      </c>
      <c r="J767" s="5">
        <v>-1.6123700000000001</v>
      </c>
      <c r="K767" s="5">
        <v>2.6664699999999999</v>
      </c>
    </row>
    <row r="769" spans="1:7" x14ac:dyDescent="0.35">
      <c r="A769" s="2">
        <v>64</v>
      </c>
      <c r="B769" s="2">
        <v>1</v>
      </c>
      <c r="C769" s="4">
        <v>-4896.7668753719181</v>
      </c>
      <c r="D769" s="4">
        <v>-2779.272544709605</v>
      </c>
      <c r="E769" s="4">
        <v>4859.8084724667988</v>
      </c>
    </row>
    <row r="770" spans="1:7" x14ac:dyDescent="0.35">
      <c r="A770" s="2">
        <v>64</v>
      </c>
      <c r="B770" s="2">
        <v>2</v>
      </c>
      <c r="C770" s="4">
        <v>-2358.1556866573769</v>
      </c>
      <c r="D770" s="4">
        <v>-3028.4116227341278</v>
      </c>
      <c r="E770" s="4">
        <v>-1256.4845000125661</v>
      </c>
    </row>
    <row r="771" spans="1:7" x14ac:dyDescent="0.35">
      <c r="A771" s="2">
        <v>64</v>
      </c>
      <c r="B771" s="2">
        <v>3</v>
      </c>
      <c r="C771" s="4">
        <v>6838.6860756205178</v>
      </c>
      <c r="D771" s="4">
        <v>-1930.399095477125</v>
      </c>
      <c r="E771" s="4">
        <v>-485.84696308706191</v>
      </c>
    </row>
    <row r="772" spans="1:7" x14ac:dyDescent="0.35">
      <c r="A772" s="2">
        <v>64</v>
      </c>
      <c r="B772" s="2">
        <v>4</v>
      </c>
      <c r="C772" s="4">
        <v>-4575.0048635823678</v>
      </c>
      <c r="D772" s="4">
        <v>1681.236754426968</v>
      </c>
      <c r="E772" s="4">
        <v>-927.12790824784247</v>
      </c>
    </row>
    <row r="773" spans="1:7" x14ac:dyDescent="0.35">
      <c r="A773" s="2">
        <v>64</v>
      </c>
      <c r="B773" s="2">
        <v>5</v>
      </c>
      <c r="C773" s="4">
        <v>3494.978232313897</v>
      </c>
      <c r="D773" s="4">
        <v>2389.8582769127238</v>
      </c>
      <c r="E773" s="4">
        <v>895.81728505069384</v>
      </c>
    </row>
    <row r="774" spans="1:7" x14ac:dyDescent="0.35">
      <c r="A774" s="2">
        <v>64</v>
      </c>
      <c r="B774" s="2">
        <v>6</v>
      </c>
      <c r="C774" s="4">
        <v>-2469.128131846659</v>
      </c>
      <c r="D774" s="4">
        <v>3304.498771197224</v>
      </c>
      <c r="E774" s="4">
        <v>388.17628065867052</v>
      </c>
    </row>
    <row r="775" spans="1:7" x14ac:dyDescent="0.35">
      <c r="A775" s="2">
        <v>64</v>
      </c>
      <c r="B775" s="2">
        <v>7</v>
      </c>
      <c r="C775" s="4">
        <v>-1769.929077320086</v>
      </c>
      <c r="D775" s="4">
        <v>3088.0480858235542</v>
      </c>
      <c r="E775" s="4">
        <v>356.78673111972171</v>
      </c>
    </row>
    <row r="776" spans="1:7" x14ac:dyDescent="0.35">
      <c r="A776" s="2">
        <v>64</v>
      </c>
      <c r="B776" s="2">
        <v>8</v>
      </c>
      <c r="C776" s="4">
        <v>9838.667230298186</v>
      </c>
      <c r="D776" s="4">
        <v>-168.67823477270969</v>
      </c>
      <c r="E776" s="4">
        <v>652.07302285936566</v>
      </c>
    </row>
    <row r="777" spans="1:7" x14ac:dyDescent="0.35">
      <c r="A777" s="2">
        <v>64</v>
      </c>
      <c r="B777" s="2">
        <v>9</v>
      </c>
      <c r="C777" s="4">
        <v>1740.060568460553</v>
      </c>
      <c r="D777" s="4">
        <v>-1037.365315887645</v>
      </c>
      <c r="E777" s="4">
        <v>-1877.547634541434</v>
      </c>
    </row>
    <row r="778" spans="1:7" x14ac:dyDescent="0.35">
      <c r="A778" s="2">
        <v>64</v>
      </c>
      <c r="B778" s="2">
        <v>10</v>
      </c>
      <c r="C778" s="4">
        <v>-5843.4074719151913</v>
      </c>
      <c r="D778" s="4">
        <v>-1519.5150747791349</v>
      </c>
      <c r="E778" s="4">
        <v>-2605.6547862657599</v>
      </c>
    </row>
    <row r="779" spans="1:7" x14ac:dyDescent="0.35">
      <c r="G779" s="30" t="s">
        <v>112</v>
      </c>
    </row>
    <row r="781" spans="1:7" x14ac:dyDescent="0.35">
      <c r="A781" s="2">
        <v>65</v>
      </c>
      <c r="B781" s="2">
        <v>1</v>
      </c>
      <c r="C781" s="4">
        <v>9460.7466828080032</v>
      </c>
      <c r="D781" s="4">
        <v>3952.589770665053</v>
      </c>
      <c r="E781" s="4">
        <v>3643.5793950690918</v>
      </c>
    </row>
    <row r="782" spans="1:7" x14ac:dyDescent="0.35">
      <c r="A782" s="2">
        <v>65</v>
      </c>
      <c r="B782" s="2">
        <v>2</v>
      </c>
      <c r="C782" s="4">
        <v>-6433.6506619010788</v>
      </c>
      <c r="D782" s="4">
        <v>3514.2285386643939</v>
      </c>
      <c r="E782" s="4">
        <v>-1176.807879528026</v>
      </c>
    </row>
    <row r="783" spans="1:7" x14ac:dyDescent="0.35">
      <c r="A783" s="2">
        <v>65</v>
      </c>
      <c r="B783" s="2">
        <v>3</v>
      </c>
      <c r="C783" s="4">
        <v>7603.1998401635783</v>
      </c>
      <c r="D783" s="4">
        <v>-125.1396168580045</v>
      </c>
      <c r="E783" s="4">
        <v>-3463.2301592371691</v>
      </c>
    </row>
    <row r="784" spans="1:7" x14ac:dyDescent="0.35">
      <c r="A784" s="2">
        <v>65</v>
      </c>
      <c r="B784" s="2">
        <v>4</v>
      </c>
      <c r="C784" s="4">
        <v>-8208.3097186676932</v>
      </c>
      <c r="D784" s="4">
        <v>-291.94061668251561</v>
      </c>
      <c r="E784" s="4">
        <v>2292.0523316341159</v>
      </c>
    </row>
    <row r="785" spans="1:5" x14ac:dyDescent="0.35">
      <c r="A785" s="2">
        <v>65</v>
      </c>
      <c r="B785" s="2">
        <v>5</v>
      </c>
      <c r="C785" s="4">
        <v>2331.316938677041</v>
      </c>
      <c r="D785" s="4">
        <v>-3026.5562619828088</v>
      </c>
      <c r="E785" s="4">
        <v>352.26798722579213</v>
      </c>
    </row>
    <row r="786" spans="1:5" x14ac:dyDescent="0.35">
      <c r="A786" s="2">
        <v>65</v>
      </c>
      <c r="B786" s="2">
        <v>6</v>
      </c>
      <c r="C786" s="4">
        <v>-2799.959603171259</v>
      </c>
      <c r="D786" s="4">
        <v>-3101.509971036337</v>
      </c>
      <c r="E786" s="4">
        <v>1097.389700711399</v>
      </c>
    </row>
    <row r="787" spans="1:5" x14ac:dyDescent="0.35">
      <c r="A787" s="2">
        <v>65</v>
      </c>
      <c r="B787" s="2">
        <v>7</v>
      </c>
      <c r="C787" s="4">
        <v>4482.0836223952256</v>
      </c>
      <c r="D787" s="4">
        <v>-3206.8597141631708</v>
      </c>
      <c r="E787" s="4">
        <v>64.803292849323697</v>
      </c>
    </row>
    <row r="788" spans="1:5" x14ac:dyDescent="0.35">
      <c r="A788" s="2">
        <v>65</v>
      </c>
      <c r="B788" s="2">
        <v>8</v>
      </c>
      <c r="C788" s="4">
        <v>-2235.4558115421169</v>
      </c>
      <c r="D788" s="4">
        <v>-657.07051172652677</v>
      </c>
      <c r="E788" s="4">
        <v>550.90212383519849</v>
      </c>
    </row>
    <row r="789" spans="1:5" x14ac:dyDescent="0.35">
      <c r="A789" s="2">
        <v>65</v>
      </c>
      <c r="B789" s="2">
        <v>9</v>
      </c>
      <c r="C789" s="4">
        <v>-5274.4293119557387</v>
      </c>
      <c r="D789" s="4">
        <v>1278.180162855881</v>
      </c>
      <c r="E789" s="4">
        <v>-1560.434530432846</v>
      </c>
    </row>
    <row r="790" spans="1:5" x14ac:dyDescent="0.35">
      <c r="A790" s="2">
        <v>65</v>
      </c>
      <c r="B790" s="2">
        <v>10</v>
      </c>
      <c r="C790" s="4">
        <v>1074.458023193725</v>
      </c>
      <c r="D790" s="4">
        <v>1664.078220263212</v>
      </c>
      <c r="E790" s="4">
        <v>-1800.522262127005</v>
      </c>
    </row>
    <row r="793" spans="1:5" x14ac:dyDescent="0.35">
      <c r="A793" s="2">
        <v>66</v>
      </c>
      <c r="B793" s="2">
        <v>1</v>
      </c>
      <c r="C793" s="4">
        <v>4306.0339919799944</v>
      </c>
      <c r="D793" s="4">
        <v>7266.2983874598403</v>
      </c>
      <c r="E793" s="4">
        <v>-1191.4996176026141</v>
      </c>
    </row>
    <row r="794" spans="1:5" x14ac:dyDescent="0.35">
      <c r="A794" s="2">
        <v>66</v>
      </c>
      <c r="B794" s="2">
        <v>2</v>
      </c>
      <c r="C794" s="4">
        <v>-2365.7069487917852</v>
      </c>
      <c r="D794" s="4">
        <v>1703.298430786012</v>
      </c>
      <c r="E794" s="4">
        <v>3989.7475921463629</v>
      </c>
    </row>
    <row r="795" spans="1:5" x14ac:dyDescent="0.35">
      <c r="A795" s="2">
        <v>66</v>
      </c>
      <c r="B795" s="2">
        <v>3</v>
      </c>
      <c r="C795" s="4">
        <v>-4265.8434507074562</v>
      </c>
      <c r="D795" s="4">
        <v>-813.57358661084777</v>
      </c>
      <c r="E795" s="4">
        <v>1939.2693653118611</v>
      </c>
    </row>
    <row r="796" spans="1:5" x14ac:dyDescent="0.35">
      <c r="A796" s="2">
        <v>66</v>
      </c>
      <c r="B796" s="2">
        <v>4</v>
      </c>
      <c r="C796" s="4">
        <v>10315.71784804329</v>
      </c>
      <c r="D796" s="4">
        <v>-2639.90797846542</v>
      </c>
      <c r="E796" s="4">
        <v>-1661.3126287155869</v>
      </c>
    </row>
    <row r="797" spans="1:5" x14ac:dyDescent="0.35">
      <c r="A797" s="2">
        <v>66</v>
      </c>
      <c r="B797" s="2">
        <v>5</v>
      </c>
      <c r="C797" s="4">
        <v>-2403.3660687422848</v>
      </c>
      <c r="D797" s="4">
        <v>-859.0529625732479</v>
      </c>
      <c r="E797" s="4">
        <v>-2320.6144334458131</v>
      </c>
    </row>
    <row r="798" spans="1:5" x14ac:dyDescent="0.35">
      <c r="A798" s="2">
        <v>66</v>
      </c>
      <c r="B798" s="2">
        <v>6</v>
      </c>
      <c r="C798" s="4">
        <v>-5423.0124045509683</v>
      </c>
      <c r="D798" s="4">
        <v>-247.58014140448429</v>
      </c>
      <c r="E798" s="4">
        <v>-1678.0814349316629</v>
      </c>
    </row>
    <row r="799" spans="1:5" x14ac:dyDescent="0.35">
      <c r="A799" s="2">
        <v>66</v>
      </c>
      <c r="B799" s="2">
        <v>7</v>
      </c>
      <c r="C799" s="4">
        <v>-3540.2507501948839</v>
      </c>
      <c r="D799" s="4">
        <v>-518.32593386805979</v>
      </c>
      <c r="E799" s="4">
        <v>-2013.706111876201</v>
      </c>
    </row>
    <row r="800" spans="1:5" x14ac:dyDescent="0.35">
      <c r="A800" s="2">
        <v>66</v>
      </c>
      <c r="B800" s="2">
        <v>8</v>
      </c>
      <c r="C800" s="4">
        <v>-4680.8579356086284</v>
      </c>
      <c r="D800" s="4">
        <v>-644.42015920929794</v>
      </c>
      <c r="E800" s="4">
        <v>-501.88907031721402</v>
      </c>
    </row>
    <row r="801" spans="1:5" x14ac:dyDescent="0.35">
      <c r="A801" s="2">
        <v>66</v>
      </c>
      <c r="B801" s="2">
        <v>9</v>
      </c>
      <c r="C801" s="4">
        <v>2795.8452999727911</v>
      </c>
      <c r="D801" s="4">
        <v>-2160.274303751733</v>
      </c>
      <c r="E801" s="4">
        <v>918.91062494619428</v>
      </c>
    </row>
    <row r="802" spans="1:5" x14ac:dyDescent="0.35">
      <c r="A802" s="2">
        <v>66</v>
      </c>
      <c r="B802" s="2">
        <v>10</v>
      </c>
      <c r="C802" s="4">
        <v>5261.4404186005704</v>
      </c>
      <c r="D802" s="4">
        <v>-1086.461752362643</v>
      </c>
      <c r="E802" s="4">
        <v>2519.175714484878</v>
      </c>
    </row>
    <row r="805" spans="1:5" x14ac:dyDescent="0.35">
      <c r="A805" s="2">
        <v>67</v>
      </c>
      <c r="B805" s="2">
        <v>1</v>
      </c>
      <c r="C805" s="4">
        <v>7423.1255269527592</v>
      </c>
      <c r="D805" s="4">
        <v>10495.77364198652</v>
      </c>
      <c r="E805" s="4">
        <v>-1223.6760671316231</v>
      </c>
    </row>
    <row r="806" spans="1:5" x14ac:dyDescent="0.35">
      <c r="A806" s="2">
        <v>67</v>
      </c>
      <c r="B806" s="2">
        <v>2</v>
      </c>
      <c r="C806" s="4">
        <v>-6406.7409728944886</v>
      </c>
      <c r="D806" s="4">
        <v>2269.5962430438158</v>
      </c>
      <c r="E806" s="4">
        <v>3143.6182211845512</v>
      </c>
    </row>
    <row r="807" spans="1:5" x14ac:dyDescent="0.35">
      <c r="A807" s="2">
        <v>67</v>
      </c>
      <c r="B807" s="2">
        <v>3</v>
      </c>
      <c r="C807" s="4">
        <v>3677.7184093409369</v>
      </c>
      <c r="D807" s="4">
        <v>-2655.7382663533572</v>
      </c>
      <c r="E807" s="4">
        <v>2488.2817424601349</v>
      </c>
    </row>
    <row r="808" spans="1:5" x14ac:dyDescent="0.35">
      <c r="A808" s="2">
        <v>67</v>
      </c>
      <c r="B808" s="2">
        <v>4</v>
      </c>
      <c r="C808" s="4">
        <v>8675.7712942738453</v>
      </c>
      <c r="D808" s="4">
        <v>-3990.786998807806</v>
      </c>
      <c r="E808" s="4">
        <v>2064.326781130796</v>
      </c>
    </row>
    <row r="809" spans="1:5" x14ac:dyDescent="0.35">
      <c r="A809" s="2">
        <v>67</v>
      </c>
      <c r="B809" s="2">
        <v>5</v>
      </c>
      <c r="C809" s="4">
        <v>302.14226671207291</v>
      </c>
      <c r="D809" s="4">
        <v>-2800.4868994163489</v>
      </c>
      <c r="E809" s="4">
        <v>-1530.3118137083609</v>
      </c>
    </row>
    <row r="810" spans="1:5" x14ac:dyDescent="0.35">
      <c r="A810" s="2">
        <v>67</v>
      </c>
      <c r="B810" s="2">
        <v>6</v>
      </c>
      <c r="C810" s="4">
        <v>717.24127239523716</v>
      </c>
      <c r="D810" s="4">
        <v>-3237.2384648131779</v>
      </c>
      <c r="E810" s="4">
        <v>-1844.3144029588209</v>
      </c>
    </row>
    <row r="811" spans="1:5" x14ac:dyDescent="0.35">
      <c r="A811" s="2">
        <v>67</v>
      </c>
      <c r="B811" s="2">
        <v>7</v>
      </c>
      <c r="C811" s="4">
        <v>-1479.103273028368</v>
      </c>
      <c r="D811" s="4">
        <v>-2007.12512052075</v>
      </c>
      <c r="E811" s="4">
        <v>-1972.4220656647531</v>
      </c>
    </row>
    <row r="812" spans="1:5" x14ac:dyDescent="0.35">
      <c r="A812" s="2">
        <v>67</v>
      </c>
      <c r="B812" s="2">
        <v>8</v>
      </c>
      <c r="C812" s="4">
        <v>-3133.7182027600152</v>
      </c>
      <c r="D812" s="4">
        <v>-1332.823134397825</v>
      </c>
      <c r="E812" s="4">
        <v>-1524.4851944148691</v>
      </c>
    </row>
    <row r="813" spans="1:5" x14ac:dyDescent="0.35">
      <c r="A813" s="2">
        <v>67</v>
      </c>
      <c r="B813" s="2">
        <v>9</v>
      </c>
      <c r="C813" s="4">
        <v>-3574.67355875152</v>
      </c>
      <c r="D813" s="4">
        <v>-1045.8129186011711</v>
      </c>
      <c r="E813" s="4">
        <v>-484.2294162187452</v>
      </c>
    </row>
    <row r="814" spans="1:5" x14ac:dyDescent="0.35">
      <c r="A814" s="2">
        <v>67</v>
      </c>
      <c r="B814" s="2">
        <v>10</v>
      </c>
      <c r="C814" s="4">
        <v>-6201.7627622403188</v>
      </c>
      <c r="D814" s="4">
        <v>4304.6419178796341</v>
      </c>
      <c r="E814" s="4">
        <v>883.21221532155823</v>
      </c>
    </row>
    <row r="816" spans="1:5" x14ac:dyDescent="0.35">
      <c r="A816" s="2">
        <v>68</v>
      </c>
      <c r="B816" s="2">
        <v>1</v>
      </c>
      <c r="C816" s="4">
        <v>-8719.5173158053276</v>
      </c>
      <c r="D816" s="4">
        <v>6118.5692821575558</v>
      </c>
      <c r="E816" s="4">
        <v>-1449.5204095653321</v>
      </c>
    </row>
    <row r="817" spans="1:5" x14ac:dyDescent="0.35">
      <c r="A817" s="2">
        <v>68</v>
      </c>
      <c r="B817" s="2">
        <v>2</v>
      </c>
      <c r="C817" s="4">
        <v>6126.5265430694481</v>
      </c>
      <c r="D817" s="4">
        <v>1699.1000731621809</v>
      </c>
      <c r="E817" s="4">
        <v>776.51810952561812</v>
      </c>
    </row>
    <row r="818" spans="1:5" x14ac:dyDescent="0.35">
      <c r="A818" s="2">
        <v>68</v>
      </c>
      <c r="B818" s="2">
        <v>3</v>
      </c>
      <c r="C818" s="4">
        <v>-4271.4389020071912</v>
      </c>
      <c r="D818" s="4">
        <v>-1386.2100959493</v>
      </c>
      <c r="E818" s="4">
        <v>3922.225718583491</v>
      </c>
    </row>
    <row r="819" spans="1:5" x14ac:dyDescent="0.35">
      <c r="A819" s="2">
        <v>68</v>
      </c>
      <c r="B819" s="2">
        <v>4</v>
      </c>
      <c r="C819" s="4">
        <v>-5838.524584303681</v>
      </c>
      <c r="D819" s="4">
        <v>-2129.1607105455232</v>
      </c>
      <c r="E819" s="4">
        <v>372.47748284392372</v>
      </c>
    </row>
    <row r="820" spans="1:5" x14ac:dyDescent="0.35">
      <c r="A820" s="2">
        <v>68</v>
      </c>
      <c r="B820" s="2">
        <v>5</v>
      </c>
      <c r="C820" s="4">
        <v>-334.58865545358651</v>
      </c>
      <c r="D820" s="4">
        <v>-1738.4050689197261</v>
      </c>
      <c r="E820" s="4">
        <v>-2156.5400695845201</v>
      </c>
    </row>
    <row r="821" spans="1:5" x14ac:dyDescent="0.35">
      <c r="A821" s="2">
        <v>68</v>
      </c>
      <c r="B821" s="2">
        <v>6</v>
      </c>
      <c r="C821" s="4">
        <v>1830.3863804173729</v>
      </c>
      <c r="D821" s="4">
        <v>-1997.824410257271</v>
      </c>
      <c r="E821" s="4">
        <v>-2314.782538123246</v>
      </c>
    </row>
    <row r="822" spans="1:5" x14ac:dyDescent="0.35">
      <c r="A822" s="2">
        <v>68</v>
      </c>
      <c r="B822" s="2">
        <v>7</v>
      </c>
      <c r="C822" s="4">
        <v>1391.5761512620859</v>
      </c>
      <c r="D822" s="4">
        <v>-2001.6890725880251</v>
      </c>
      <c r="E822" s="4">
        <v>-2440.947887902842</v>
      </c>
    </row>
    <row r="823" spans="1:5" x14ac:dyDescent="0.35">
      <c r="A823" s="2">
        <v>68</v>
      </c>
      <c r="B823" s="2">
        <v>8</v>
      </c>
      <c r="C823" s="4">
        <v>-3814.217009075152</v>
      </c>
      <c r="D823" s="4">
        <v>-1596.6367511131</v>
      </c>
      <c r="E823" s="4">
        <v>882.96006913491215</v>
      </c>
    </row>
    <row r="824" spans="1:5" x14ac:dyDescent="0.35">
      <c r="A824" s="2">
        <v>68</v>
      </c>
      <c r="B824" s="2">
        <v>9</v>
      </c>
      <c r="C824" s="4">
        <v>4593.1381411572293</v>
      </c>
      <c r="D824" s="4">
        <v>684.50830996374737</v>
      </c>
      <c r="E824" s="4">
        <v>2238.089689214698</v>
      </c>
    </row>
    <row r="825" spans="1:5" x14ac:dyDescent="0.35">
      <c r="A825" s="2">
        <v>68</v>
      </c>
      <c r="B825" s="2">
        <v>10</v>
      </c>
      <c r="C825" s="4">
        <v>9036.6592507381247</v>
      </c>
      <c r="D825" s="4">
        <v>2347.7484440897879</v>
      </c>
      <c r="E825" s="4">
        <v>169.51983587385931</v>
      </c>
    </row>
    <row r="828" spans="1:5" x14ac:dyDescent="0.35">
      <c r="A828" s="2">
        <v>69</v>
      </c>
      <c r="B828" s="2">
        <v>1</v>
      </c>
      <c r="C828" s="4">
        <v>3035.8508573855952</v>
      </c>
      <c r="D828" s="4">
        <v>5862.1687295013444</v>
      </c>
      <c r="E828" s="4">
        <v>3579.59971337039</v>
      </c>
    </row>
    <row r="829" spans="1:5" x14ac:dyDescent="0.35">
      <c r="A829" s="2">
        <v>69</v>
      </c>
      <c r="B829" s="2">
        <v>2</v>
      </c>
      <c r="C829" s="4">
        <v>-4070.1352161160721</v>
      </c>
      <c r="D829" s="4">
        <v>2628.9815847461859</v>
      </c>
      <c r="E829" s="4">
        <v>-1649.032043176124</v>
      </c>
    </row>
    <row r="830" spans="1:5" x14ac:dyDescent="0.35">
      <c r="A830" s="2">
        <v>69</v>
      </c>
      <c r="B830" s="2">
        <v>3</v>
      </c>
      <c r="C830" s="4">
        <v>-2340.213006165513</v>
      </c>
      <c r="D830" s="4">
        <v>160.63288990798071</v>
      </c>
      <c r="E830" s="4">
        <v>-2088.857163852254</v>
      </c>
    </row>
    <row r="831" spans="1:5" x14ac:dyDescent="0.35">
      <c r="A831" s="2">
        <v>69</v>
      </c>
      <c r="B831" s="2">
        <v>4</v>
      </c>
      <c r="C831" s="4">
        <v>5177.1110364667384</v>
      </c>
      <c r="D831" s="4">
        <v>-1249.0257670516089</v>
      </c>
      <c r="E831" s="4">
        <v>-2318.7593947531309</v>
      </c>
    </row>
    <row r="832" spans="1:5" x14ac:dyDescent="0.35">
      <c r="A832" s="2">
        <v>69</v>
      </c>
      <c r="B832" s="2">
        <v>5</v>
      </c>
      <c r="C832" s="4">
        <v>-2345.3969882024721</v>
      </c>
      <c r="D832" s="4">
        <v>-2645.429989419561</v>
      </c>
      <c r="E832" s="4">
        <v>2078.2712178684701</v>
      </c>
    </row>
    <row r="833" spans="1:5" x14ac:dyDescent="0.35">
      <c r="A833" s="2">
        <v>69</v>
      </c>
      <c r="B833" s="2">
        <v>6</v>
      </c>
      <c r="C833" s="4">
        <v>-2321.992014782194</v>
      </c>
      <c r="D833" s="4">
        <v>-2790.1905586749481</v>
      </c>
      <c r="E833" s="4">
        <v>2501.6605194152721</v>
      </c>
    </row>
    <row r="834" spans="1:5" x14ac:dyDescent="0.35">
      <c r="A834" s="2">
        <v>69</v>
      </c>
      <c r="B834" s="2">
        <v>7</v>
      </c>
      <c r="C834" s="4">
        <v>4731.0545216454693</v>
      </c>
      <c r="D834" s="4">
        <v>-2561.3062340555362</v>
      </c>
      <c r="E834" s="4">
        <v>1241.572513325634</v>
      </c>
    </row>
    <row r="835" spans="1:5" x14ac:dyDescent="0.35">
      <c r="A835" s="2">
        <v>69</v>
      </c>
      <c r="B835" s="2">
        <v>8</v>
      </c>
      <c r="C835" s="4">
        <v>-4246.655405194545</v>
      </c>
      <c r="D835" s="4">
        <v>-1720.9425596428839</v>
      </c>
      <c r="E835" s="4">
        <v>92.461810370033916</v>
      </c>
    </row>
    <row r="836" spans="1:5" x14ac:dyDescent="0.35">
      <c r="A836" s="2">
        <v>69</v>
      </c>
      <c r="B836" s="2">
        <v>9</v>
      </c>
      <c r="C836" s="4">
        <v>4486.7488820975032</v>
      </c>
      <c r="D836" s="4">
        <v>-493.175352425423</v>
      </c>
      <c r="E836" s="4">
        <v>-1895.9646655099259</v>
      </c>
    </row>
    <row r="837" spans="1:5" x14ac:dyDescent="0.35">
      <c r="A837" s="2">
        <v>69</v>
      </c>
      <c r="B837" s="2">
        <v>10</v>
      </c>
      <c r="C837" s="4">
        <v>-2106.3726671351819</v>
      </c>
      <c r="D837" s="4">
        <v>2808.287257114795</v>
      </c>
      <c r="E837" s="4">
        <v>-1540.9525070579971</v>
      </c>
    </row>
    <row r="840" spans="1:5" x14ac:dyDescent="0.35">
      <c r="A840" s="2">
        <v>70</v>
      </c>
      <c r="B840" s="2">
        <v>1</v>
      </c>
      <c r="C840" s="4">
        <v>10104.431684428069</v>
      </c>
      <c r="D840" s="4">
        <v>691.63355824057021</v>
      </c>
      <c r="E840" s="4">
        <v>3540.3615422928351</v>
      </c>
    </row>
    <row r="841" spans="1:5" x14ac:dyDescent="0.35">
      <c r="A841" s="2">
        <v>70</v>
      </c>
      <c r="B841" s="2">
        <v>2</v>
      </c>
      <c r="C841" s="4">
        <v>2421.6556340926381</v>
      </c>
      <c r="D841" s="4">
        <v>2774.4096357850531</v>
      </c>
      <c r="E841" s="4">
        <v>-1396.9747937271741</v>
      </c>
    </row>
    <row r="842" spans="1:5" x14ac:dyDescent="0.35">
      <c r="A842" s="2">
        <v>70</v>
      </c>
      <c r="B842" s="2">
        <v>3</v>
      </c>
      <c r="C842" s="4">
        <v>2663.8148400954292</v>
      </c>
      <c r="D842" s="4">
        <v>-351.27678227277391</v>
      </c>
      <c r="E842" s="4">
        <v>-3230.1022259414281</v>
      </c>
    </row>
    <row r="843" spans="1:5" x14ac:dyDescent="0.35">
      <c r="A843" s="2">
        <v>70</v>
      </c>
      <c r="B843" s="2">
        <v>4</v>
      </c>
      <c r="C843" s="4">
        <v>-5244.1110806913184</v>
      </c>
      <c r="D843" s="4">
        <v>639.6078324961203</v>
      </c>
      <c r="E843" s="4">
        <v>-72.386180626877547</v>
      </c>
    </row>
    <row r="844" spans="1:5" x14ac:dyDescent="0.35">
      <c r="A844" s="2">
        <v>70</v>
      </c>
      <c r="B844" s="2">
        <v>5</v>
      </c>
      <c r="C844" s="4">
        <v>-5298.257230715657</v>
      </c>
      <c r="D844" s="4">
        <v>-764.24058404030632</v>
      </c>
      <c r="E844" s="4">
        <v>1803.8298739267859</v>
      </c>
    </row>
    <row r="845" spans="1:5" x14ac:dyDescent="0.35">
      <c r="A845" s="2">
        <v>70</v>
      </c>
      <c r="B845" s="2">
        <v>6</v>
      </c>
      <c r="C845" s="4">
        <v>-4163.8336962944459</v>
      </c>
      <c r="D845" s="4">
        <v>-1274.405811602408</v>
      </c>
      <c r="E845" s="4">
        <v>1600.4424414001171</v>
      </c>
    </row>
    <row r="846" spans="1:5" x14ac:dyDescent="0.35">
      <c r="A846" s="2">
        <v>70</v>
      </c>
      <c r="B846" s="2">
        <v>7</v>
      </c>
      <c r="C846" s="4">
        <v>-1466.209541940794</v>
      </c>
      <c r="D846" s="4">
        <v>-2734.8368668629669</v>
      </c>
      <c r="E846" s="4">
        <v>1104.7538034733859</v>
      </c>
    </row>
    <row r="847" spans="1:5" x14ac:dyDescent="0.35">
      <c r="A847" s="2">
        <v>70</v>
      </c>
      <c r="B847" s="2">
        <v>8</v>
      </c>
      <c r="C847" s="4">
        <v>2387.0958873544359</v>
      </c>
      <c r="D847" s="4">
        <v>-4404.91398734432</v>
      </c>
      <c r="E847" s="4">
        <v>-1086.3068454584591</v>
      </c>
    </row>
    <row r="848" spans="1:5" x14ac:dyDescent="0.35">
      <c r="A848" s="2">
        <v>70</v>
      </c>
      <c r="B848" s="2">
        <v>9</v>
      </c>
      <c r="C848" s="4">
        <v>961.2546608175802</v>
      </c>
      <c r="D848" s="4">
        <v>169.7005582202556</v>
      </c>
      <c r="E848" s="4">
        <v>-2731.1705448314251</v>
      </c>
    </row>
    <row r="849" spans="1:5" x14ac:dyDescent="0.35">
      <c r="A849" s="2">
        <v>70</v>
      </c>
      <c r="B849" s="2">
        <v>10</v>
      </c>
      <c r="C849" s="4">
        <v>-2365.841157146187</v>
      </c>
      <c r="D849" s="4">
        <v>5254.3224473808968</v>
      </c>
      <c r="E849" s="4">
        <v>467.55292949219131</v>
      </c>
    </row>
    <row r="852" spans="1:5" x14ac:dyDescent="0.35">
      <c r="A852" s="2">
        <v>71</v>
      </c>
      <c r="B852" s="2">
        <v>1</v>
      </c>
      <c r="C852" s="4">
        <v>-4009.4005615372589</v>
      </c>
      <c r="D852" s="4">
        <v>2066.7952095336268</v>
      </c>
      <c r="E852" s="4">
        <v>1952.869987792832</v>
      </c>
    </row>
    <row r="853" spans="1:5" x14ac:dyDescent="0.35">
      <c r="A853" s="2">
        <v>71</v>
      </c>
      <c r="B853" s="2">
        <v>2</v>
      </c>
      <c r="C853" s="4">
        <v>-1993.0259862978439</v>
      </c>
      <c r="D853" s="4">
        <v>1151.1407106036329</v>
      </c>
      <c r="E853" s="4">
        <v>-525.93077163124667</v>
      </c>
    </row>
    <row r="854" spans="1:5" x14ac:dyDescent="0.35">
      <c r="A854" s="2">
        <v>71</v>
      </c>
      <c r="B854" s="2">
        <v>3</v>
      </c>
      <c r="C854" s="4">
        <v>-1119.95977181695</v>
      </c>
      <c r="D854" s="4">
        <v>941.00178329616881</v>
      </c>
      <c r="E854" s="4">
        <v>-1418.7759017680451</v>
      </c>
    </row>
    <row r="855" spans="1:5" x14ac:dyDescent="0.35">
      <c r="A855" s="2">
        <v>71</v>
      </c>
      <c r="B855" s="2">
        <v>4</v>
      </c>
      <c r="C855" s="4">
        <v>6469.9225678057464</v>
      </c>
      <c r="D855" s="4">
        <v>-530.10809597267109</v>
      </c>
      <c r="E855" s="4">
        <v>1088.9626060837429</v>
      </c>
    </row>
    <row r="856" spans="1:5" x14ac:dyDescent="0.35">
      <c r="A856" s="2">
        <v>71</v>
      </c>
      <c r="B856" s="2">
        <v>5</v>
      </c>
      <c r="C856" s="4">
        <v>-973.83430286513669</v>
      </c>
      <c r="D856" s="4">
        <v>-1700.369008267591</v>
      </c>
      <c r="E856" s="4">
        <v>44.661023418911071</v>
      </c>
    </row>
    <row r="857" spans="1:5" x14ac:dyDescent="0.35">
      <c r="A857" s="2">
        <v>71</v>
      </c>
      <c r="B857" s="2">
        <v>6</v>
      </c>
      <c r="C857" s="4">
        <v>-2082.128057854773</v>
      </c>
      <c r="D857" s="4">
        <v>-1590.0806702849859</v>
      </c>
      <c r="E857" s="4">
        <v>-362.09887412027342</v>
      </c>
    </row>
    <row r="858" spans="1:5" x14ac:dyDescent="0.35">
      <c r="A858" s="2">
        <v>71</v>
      </c>
      <c r="B858" s="2">
        <v>7</v>
      </c>
      <c r="C858" s="4">
        <v>-93.820718384991238</v>
      </c>
      <c r="D858" s="4">
        <v>-1869.016071731156</v>
      </c>
      <c r="E858" s="4">
        <v>710.22347643399667</v>
      </c>
    </row>
    <row r="859" spans="1:5" x14ac:dyDescent="0.35">
      <c r="A859" s="2">
        <v>71</v>
      </c>
      <c r="B859" s="2">
        <v>8</v>
      </c>
      <c r="C859" s="4">
        <v>-3014.6914329249162</v>
      </c>
      <c r="D859" s="4">
        <v>-638.7604115567076</v>
      </c>
      <c r="E859" s="4">
        <v>-286.96347352458469</v>
      </c>
    </row>
    <row r="860" spans="1:5" x14ac:dyDescent="0.35">
      <c r="A860" s="2">
        <v>71</v>
      </c>
      <c r="B860" s="2">
        <v>9</v>
      </c>
      <c r="C860" s="4">
        <v>2689.7620109694199</v>
      </c>
      <c r="D860" s="4">
        <v>665.51689221912204</v>
      </c>
      <c r="E860" s="4">
        <v>-1115.218487452142</v>
      </c>
    </row>
    <row r="861" spans="1:5" x14ac:dyDescent="0.35">
      <c r="A861" s="2">
        <v>71</v>
      </c>
      <c r="B861" s="2">
        <v>10</v>
      </c>
      <c r="C861" s="4">
        <v>4127.1762529067073</v>
      </c>
      <c r="D861" s="4">
        <v>1503.8796621605329</v>
      </c>
      <c r="E861" s="4">
        <v>-87.729585233178966</v>
      </c>
    </row>
    <row r="864" spans="1:5" x14ac:dyDescent="0.35">
      <c r="A864" s="2">
        <v>72</v>
      </c>
      <c r="B864" s="2">
        <v>1</v>
      </c>
      <c r="C864" s="4">
        <v>-14884.273399662579</v>
      </c>
      <c r="D864" s="4">
        <v>1067.386557193405</v>
      </c>
      <c r="E864" s="4">
        <v>-1036.783440965193</v>
      </c>
    </row>
    <row r="865" spans="1:5" x14ac:dyDescent="0.35">
      <c r="A865" s="2">
        <v>72</v>
      </c>
      <c r="B865" s="2">
        <v>2</v>
      </c>
      <c r="C865" s="4">
        <v>-9080.5877119233428</v>
      </c>
      <c r="D865" s="4">
        <v>-1733.117147996008</v>
      </c>
      <c r="E865" s="4">
        <v>-146.92221124007881</v>
      </c>
    </row>
    <row r="866" spans="1:5" x14ac:dyDescent="0.35">
      <c r="A866" s="2">
        <v>72</v>
      </c>
      <c r="B866" s="2">
        <v>3</v>
      </c>
      <c r="C866" s="4">
        <v>-4907.1400112899892</v>
      </c>
      <c r="D866" s="4">
        <v>-2749.5835364568602</v>
      </c>
      <c r="E866" s="4">
        <v>260.72157725293511</v>
      </c>
    </row>
    <row r="867" spans="1:5" x14ac:dyDescent="0.35">
      <c r="A867" s="2">
        <v>72</v>
      </c>
      <c r="B867" s="2">
        <v>4</v>
      </c>
      <c r="C867" s="4">
        <v>8776.022313069132</v>
      </c>
      <c r="D867" s="4">
        <v>49.089333531113013</v>
      </c>
      <c r="E867" s="4">
        <v>2716.8013787726618</v>
      </c>
    </row>
    <row r="868" spans="1:5" x14ac:dyDescent="0.35">
      <c r="A868" s="2">
        <v>72</v>
      </c>
      <c r="B868" s="2">
        <v>5</v>
      </c>
      <c r="C868" s="4">
        <v>9985.8964949668261</v>
      </c>
      <c r="D868" s="4">
        <v>5005.4331330092018</v>
      </c>
      <c r="E868" s="4">
        <v>-905.39471839662042</v>
      </c>
    </row>
    <row r="869" spans="1:5" x14ac:dyDescent="0.35">
      <c r="A869" s="2">
        <v>72</v>
      </c>
      <c r="B869" s="2">
        <v>6</v>
      </c>
      <c r="C869" s="4">
        <v>27266.315849296549</v>
      </c>
      <c r="D869" s="4">
        <v>-2989.4884611945699</v>
      </c>
      <c r="E869" s="4">
        <v>-1157.715366190796</v>
      </c>
    </row>
    <row r="870" spans="1:5" x14ac:dyDescent="0.35">
      <c r="A870" s="2">
        <v>72</v>
      </c>
      <c r="B870" s="2">
        <v>7</v>
      </c>
      <c r="C870" s="4">
        <v>6564.4278148622661</v>
      </c>
      <c r="D870" s="4">
        <v>1926.4353078474001</v>
      </c>
      <c r="E870" s="4">
        <v>-135.60847347575771</v>
      </c>
    </row>
    <row r="871" spans="1:5" x14ac:dyDescent="0.35">
      <c r="A871" s="2">
        <v>72</v>
      </c>
      <c r="B871" s="2">
        <v>8</v>
      </c>
      <c r="C871" s="4">
        <v>-2967.023276290487</v>
      </c>
      <c r="D871" s="4">
        <v>823.68807167364548</v>
      </c>
      <c r="E871" s="4">
        <v>1179.496354619308</v>
      </c>
    </row>
    <row r="872" spans="1:5" x14ac:dyDescent="0.35">
      <c r="A872" s="2">
        <v>72</v>
      </c>
      <c r="B872" s="2">
        <v>9</v>
      </c>
      <c r="C872" s="4">
        <v>-12943.542594968259</v>
      </c>
      <c r="D872" s="4">
        <v>658.46656916293341</v>
      </c>
      <c r="E872" s="4">
        <v>74.274883833296983</v>
      </c>
    </row>
    <row r="873" spans="1:5" x14ac:dyDescent="0.35">
      <c r="A873" s="2">
        <v>72</v>
      </c>
      <c r="B873" s="2">
        <v>10</v>
      </c>
      <c r="C873" s="4">
        <v>-7810.0954780605516</v>
      </c>
      <c r="D873" s="4">
        <v>-2058.3098267704172</v>
      </c>
      <c r="E873" s="4">
        <v>-848.86998420978671</v>
      </c>
    </row>
    <row r="876" spans="1:5" x14ac:dyDescent="0.35">
      <c r="A876" s="2">
        <v>73</v>
      </c>
      <c r="B876" s="2">
        <v>1</v>
      </c>
      <c r="C876" s="4">
        <v>7328.7255920151547</v>
      </c>
      <c r="D876" s="4">
        <v>186.2360593391756</v>
      </c>
      <c r="E876" s="4">
        <v>3413.2536733253978</v>
      </c>
    </row>
    <row r="877" spans="1:5" x14ac:dyDescent="0.35">
      <c r="A877" s="2">
        <v>73</v>
      </c>
      <c r="B877" s="2">
        <v>2</v>
      </c>
      <c r="C877" s="4">
        <v>10683.170293789701</v>
      </c>
      <c r="D877" s="4">
        <v>-774.27096292876331</v>
      </c>
      <c r="E877" s="4">
        <v>-2038.7063593400801</v>
      </c>
    </row>
    <row r="878" spans="1:5" x14ac:dyDescent="0.35">
      <c r="A878" s="2">
        <v>73</v>
      </c>
      <c r="B878" s="2">
        <v>3</v>
      </c>
      <c r="C878" s="4">
        <v>-3461.0131010697551</v>
      </c>
      <c r="D878" s="4">
        <v>3000.963923247672</v>
      </c>
      <c r="E878" s="4">
        <v>-2753.886794289876</v>
      </c>
    </row>
    <row r="879" spans="1:5" x14ac:dyDescent="0.35">
      <c r="A879" s="2">
        <v>73</v>
      </c>
      <c r="B879" s="2">
        <v>4</v>
      </c>
      <c r="C879" s="4">
        <v>-5094.8978190139669</v>
      </c>
      <c r="D879" s="4">
        <v>-104.9688230917759</v>
      </c>
      <c r="E879" s="4">
        <v>-354.77082249722042</v>
      </c>
    </row>
    <row r="880" spans="1:5" x14ac:dyDescent="0.35">
      <c r="A880" s="2">
        <v>73</v>
      </c>
      <c r="B880" s="2">
        <v>5</v>
      </c>
      <c r="C880" s="4">
        <v>-4587.419833455102</v>
      </c>
      <c r="D880" s="4">
        <v>-1766.8610711487679</v>
      </c>
      <c r="E880" s="4">
        <v>785.22701323488002</v>
      </c>
    </row>
    <row r="881" spans="1:5" x14ac:dyDescent="0.35">
      <c r="A881" s="2">
        <v>73</v>
      </c>
      <c r="B881" s="2">
        <v>6</v>
      </c>
      <c r="C881" s="4">
        <v>-3104.9797899648961</v>
      </c>
      <c r="D881" s="4">
        <v>-2170.045193317746</v>
      </c>
      <c r="E881" s="4">
        <v>764.86784099704516</v>
      </c>
    </row>
    <row r="882" spans="1:5" x14ac:dyDescent="0.35">
      <c r="A882" s="2">
        <v>73</v>
      </c>
      <c r="B882" s="2">
        <v>7</v>
      </c>
      <c r="C882" s="4">
        <v>-1649.619872959956</v>
      </c>
      <c r="D882" s="4">
        <v>-2731.0904313700512</v>
      </c>
      <c r="E882" s="4">
        <v>475.88858903996061</v>
      </c>
    </row>
    <row r="883" spans="1:5" x14ac:dyDescent="0.35">
      <c r="A883" s="2">
        <v>73</v>
      </c>
      <c r="B883" s="2">
        <v>8</v>
      </c>
      <c r="C883" s="4">
        <v>-2281.0118420103408</v>
      </c>
      <c r="D883" s="4">
        <v>-964.64807979581235</v>
      </c>
      <c r="E883" s="4">
        <v>-258.89658579742928</v>
      </c>
    </row>
    <row r="884" spans="1:5" x14ac:dyDescent="0.35">
      <c r="A884" s="2">
        <v>73</v>
      </c>
      <c r="B884" s="2">
        <v>9</v>
      </c>
      <c r="C884" s="4">
        <v>3164.81305078995</v>
      </c>
      <c r="D884" s="4">
        <v>125.46155221170829</v>
      </c>
      <c r="E884" s="4">
        <v>-2026.4021097521461</v>
      </c>
    </row>
    <row r="885" spans="1:5" x14ac:dyDescent="0.35">
      <c r="A885" s="2">
        <v>73</v>
      </c>
      <c r="B885" s="2">
        <v>10</v>
      </c>
      <c r="C885" s="4">
        <v>-997.76667812098526</v>
      </c>
      <c r="D885" s="4">
        <v>5199.2230268543981</v>
      </c>
      <c r="E885" s="4">
        <v>1993.425555079561</v>
      </c>
    </row>
    <row r="888" spans="1:5" x14ac:dyDescent="0.35">
      <c r="A888" s="2">
        <v>74</v>
      </c>
      <c r="B888" s="2">
        <v>1</v>
      </c>
      <c r="C888" s="4">
        <v>8928.7574930841838</v>
      </c>
      <c r="D888" s="4">
        <v>-2010.420774658606</v>
      </c>
      <c r="E888" s="4">
        <v>3616.6451536279901</v>
      </c>
    </row>
    <row r="889" spans="1:5" x14ac:dyDescent="0.35">
      <c r="A889" s="2">
        <v>74</v>
      </c>
      <c r="B889" s="2">
        <v>2</v>
      </c>
      <c r="C889" s="4">
        <v>-1078.1958894825959</v>
      </c>
      <c r="D889" s="4">
        <v>-3634.787736555154</v>
      </c>
      <c r="E889" s="4">
        <v>-239.21550292997989</v>
      </c>
    </row>
    <row r="890" spans="1:5" x14ac:dyDescent="0.35">
      <c r="A890" s="2">
        <v>74</v>
      </c>
      <c r="B890" s="2">
        <v>3</v>
      </c>
      <c r="C890" s="4">
        <v>1236.126361168579</v>
      </c>
      <c r="D890" s="4">
        <v>-448.76094898577639</v>
      </c>
      <c r="E890" s="4">
        <v>-3146.277271223345</v>
      </c>
    </row>
    <row r="891" spans="1:5" x14ac:dyDescent="0.35">
      <c r="A891" s="2">
        <v>74</v>
      </c>
      <c r="B891" s="2">
        <v>4</v>
      </c>
      <c r="C891" s="4">
        <v>-5841.679223582697</v>
      </c>
      <c r="D891" s="4">
        <v>73.201381222447296</v>
      </c>
      <c r="E891" s="4">
        <v>368.08474812946798</v>
      </c>
    </row>
    <row r="892" spans="1:5" x14ac:dyDescent="0.35">
      <c r="A892" s="2">
        <v>74</v>
      </c>
      <c r="B892" s="2">
        <v>5</v>
      </c>
      <c r="C892" s="4">
        <v>7412.8921677218641</v>
      </c>
      <c r="D892" s="4">
        <v>4825.8362524559616</v>
      </c>
      <c r="E892" s="4">
        <v>271.68304569007557</v>
      </c>
    </row>
    <row r="893" spans="1:5" x14ac:dyDescent="0.35">
      <c r="A893" s="2">
        <v>74</v>
      </c>
      <c r="B893" s="2">
        <v>6</v>
      </c>
      <c r="C893" s="4">
        <v>-7479.5226177573577</v>
      </c>
      <c r="D893" s="4">
        <v>1107.7166812433661</v>
      </c>
      <c r="E893" s="4">
        <v>1080.8598097253639</v>
      </c>
    </row>
    <row r="894" spans="1:5" x14ac:dyDescent="0.35">
      <c r="A894" s="2">
        <v>74</v>
      </c>
      <c r="B894" s="2">
        <v>7</v>
      </c>
      <c r="C894" s="4">
        <v>-7823.627662968699</v>
      </c>
      <c r="D894" s="4">
        <v>867.4266532927445</v>
      </c>
      <c r="E894" s="4">
        <v>1214.712900278553</v>
      </c>
    </row>
    <row r="895" spans="1:5" x14ac:dyDescent="0.35">
      <c r="A895" s="2">
        <v>74</v>
      </c>
      <c r="B895" s="2">
        <v>8</v>
      </c>
      <c r="C895" s="4">
        <v>-582.34915574167837</v>
      </c>
      <c r="D895" s="4">
        <v>2374.971527670516</v>
      </c>
      <c r="E895" s="4">
        <v>64.189708588576664</v>
      </c>
    </row>
    <row r="896" spans="1:5" x14ac:dyDescent="0.35">
      <c r="A896" s="2">
        <v>74</v>
      </c>
      <c r="B896" s="2">
        <v>9</v>
      </c>
      <c r="C896" s="4">
        <v>3735.1338699765888</v>
      </c>
      <c r="D896" s="4">
        <v>180.2155172889035</v>
      </c>
      <c r="E896" s="4">
        <v>-2710.0560445871511</v>
      </c>
    </row>
    <row r="897" spans="1:5" x14ac:dyDescent="0.35">
      <c r="A897" s="2">
        <v>74</v>
      </c>
      <c r="B897" s="2">
        <v>10</v>
      </c>
      <c r="C897" s="4">
        <v>1492.4646575828219</v>
      </c>
      <c r="D897" s="4">
        <v>-3335.3985529747451</v>
      </c>
      <c r="E897" s="4">
        <v>-520.626547299903</v>
      </c>
    </row>
    <row r="900" spans="1:5" x14ac:dyDescent="0.35">
      <c r="A900" s="2">
        <v>75</v>
      </c>
      <c r="B900" s="2">
        <v>1</v>
      </c>
      <c r="C900" s="4">
        <v>8496.3099977746479</v>
      </c>
      <c r="D900" s="4">
        <v>4747.5144340562729</v>
      </c>
      <c r="E900" s="4">
        <v>-2276.3060045270649</v>
      </c>
    </row>
    <row r="901" spans="1:5" x14ac:dyDescent="0.35">
      <c r="A901" s="2">
        <v>75</v>
      </c>
      <c r="B901" s="2">
        <v>2</v>
      </c>
      <c r="C901" s="4">
        <v>-5921.1871298189044</v>
      </c>
      <c r="D901" s="4">
        <v>2719.521423588651</v>
      </c>
      <c r="E901" s="4">
        <v>612.05406946592063</v>
      </c>
    </row>
    <row r="902" spans="1:5" x14ac:dyDescent="0.35">
      <c r="A902" s="2">
        <v>75</v>
      </c>
      <c r="B902" s="2">
        <v>3</v>
      </c>
      <c r="C902" s="4">
        <v>-3700.7763318875532</v>
      </c>
      <c r="D902" s="4">
        <v>1925.1491539235681</v>
      </c>
      <c r="E902" s="4">
        <v>2207.567421781122</v>
      </c>
    </row>
    <row r="903" spans="1:5" x14ac:dyDescent="0.35">
      <c r="A903" s="2">
        <v>75</v>
      </c>
      <c r="B903" s="2">
        <v>4</v>
      </c>
      <c r="C903" s="4">
        <v>-4862.3929355202508</v>
      </c>
      <c r="D903" s="4">
        <v>-2212.551380654169</v>
      </c>
      <c r="E903" s="4">
        <v>-2571.0304981080649</v>
      </c>
    </row>
    <row r="904" spans="1:5" x14ac:dyDescent="0.35">
      <c r="A904" s="2">
        <v>75</v>
      </c>
      <c r="B904" s="2">
        <v>5</v>
      </c>
      <c r="C904" s="4">
        <v>2169.3629255152669</v>
      </c>
      <c r="D904" s="4">
        <v>-2853.043668870198</v>
      </c>
      <c r="E904" s="4">
        <v>-166.2895502773388</v>
      </c>
    </row>
    <row r="905" spans="1:5" x14ac:dyDescent="0.35">
      <c r="A905" s="2">
        <v>75</v>
      </c>
      <c r="B905" s="2">
        <v>6</v>
      </c>
      <c r="C905" s="4">
        <v>8344.5079911622433</v>
      </c>
      <c r="D905" s="4">
        <v>-2839.6084531606962</v>
      </c>
      <c r="E905" s="4">
        <v>1436.4878627770131</v>
      </c>
    </row>
    <row r="906" spans="1:5" x14ac:dyDescent="0.35">
      <c r="A906" s="2">
        <v>75</v>
      </c>
      <c r="B906" s="2">
        <v>7</v>
      </c>
      <c r="C906" s="4">
        <v>-5530.0021558136159</v>
      </c>
      <c r="D906" s="4">
        <v>-3100.267982597883</v>
      </c>
      <c r="E906" s="4">
        <v>-1802.724449420607</v>
      </c>
    </row>
    <row r="907" spans="1:5" x14ac:dyDescent="0.35">
      <c r="A907" s="2">
        <v>75</v>
      </c>
      <c r="B907" s="2">
        <v>8</v>
      </c>
      <c r="C907" s="4">
        <v>4562.8785696167442</v>
      </c>
      <c r="D907" s="4">
        <v>-2278.0652843700891</v>
      </c>
      <c r="E907" s="4">
        <v>855.05190908610768</v>
      </c>
    </row>
    <row r="908" spans="1:5" x14ac:dyDescent="0.35">
      <c r="A908" s="2">
        <v>75</v>
      </c>
      <c r="B908" s="2">
        <v>9</v>
      </c>
      <c r="C908" s="4">
        <v>-2784.8458280613072</v>
      </c>
      <c r="D908" s="4">
        <v>856.04334794961528</v>
      </c>
      <c r="E908" s="4">
        <v>2757.048974522243</v>
      </c>
    </row>
    <row r="909" spans="1:5" x14ac:dyDescent="0.35">
      <c r="A909" s="2">
        <v>75</v>
      </c>
      <c r="B909" s="2">
        <v>10</v>
      </c>
      <c r="C909" s="4">
        <v>-773.85510296678808</v>
      </c>
      <c r="D909" s="4">
        <v>3035.308410135201</v>
      </c>
      <c r="E909" s="4">
        <v>-1051.8597352993011</v>
      </c>
    </row>
    <row r="912" spans="1:5" x14ac:dyDescent="0.35">
      <c r="A912" s="2">
        <v>76</v>
      </c>
      <c r="B912" s="2">
        <v>1</v>
      </c>
      <c r="C912" s="4">
        <v>-5251.4022972468219</v>
      </c>
      <c r="D912" s="4">
        <v>3767.8395169079831</v>
      </c>
      <c r="E912" s="4">
        <v>-1388.8114358543521</v>
      </c>
    </row>
    <row r="913" spans="1:5" x14ac:dyDescent="0.35">
      <c r="A913" s="2">
        <v>76</v>
      </c>
      <c r="B913" s="2">
        <v>2</v>
      </c>
      <c r="C913" s="4">
        <v>-1356.2505149394519</v>
      </c>
      <c r="D913" s="4">
        <v>3110.1316749337461</v>
      </c>
      <c r="E913" s="4">
        <v>-548.96611306790408</v>
      </c>
    </row>
    <row r="914" spans="1:5" x14ac:dyDescent="0.35">
      <c r="A914" s="2">
        <v>76</v>
      </c>
      <c r="B914" s="2">
        <v>3</v>
      </c>
      <c r="C914" s="4">
        <v>9021.6473864099844</v>
      </c>
      <c r="D914" s="4">
        <v>805.14515585918116</v>
      </c>
      <c r="E914" s="4">
        <v>-1678.4663791294479</v>
      </c>
    </row>
    <row r="915" spans="1:5" x14ac:dyDescent="0.35">
      <c r="A915" s="2">
        <v>76</v>
      </c>
      <c r="B915" s="2">
        <v>4</v>
      </c>
      <c r="C915" s="4">
        <v>-5464.7078974752376</v>
      </c>
      <c r="D915" s="4">
        <v>-850.02205618188839</v>
      </c>
      <c r="E915" s="4">
        <v>761.50085099881289</v>
      </c>
    </row>
    <row r="916" spans="1:5" x14ac:dyDescent="0.35">
      <c r="A916" s="2">
        <v>76</v>
      </c>
      <c r="B916" s="2">
        <v>5</v>
      </c>
      <c r="C916" s="4">
        <v>200.97328592490979</v>
      </c>
      <c r="D916" s="4">
        <v>-2668.6628900836731</v>
      </c>
      <c r="E916" s="4">
        <v>-1356.4730257463391</v>
      </c>
    </row>
    <row r="917" spans="1:5" x14ac:dyDescent="0.35">
      <c r="A917" s="2">
        <v>76</v>
      </c>
      <c r="B917" s="2">
        <v>6</v>
      </c>
      <c r="C917" s="4">
        <v>-4323.967766200366</v>
      </c>
      <c r="D917" s="4">
        <v>-2466.1933899918399</v>
      </c>
      <c r="E917" s="4">
        <v>-1083.970648046489</v>
      </c>
    </row>
    <row r="918" spans="1:5" x14ac:dyDescent="0.35">
      <c r="A918" s="2">
        <v>76</v>
      </c>
      <c r="B918" s="2">
        <v>7</v>
      </c>
      <c r="C918" s="4">
        <v>2744.7612427679819</v>
      </c>
      <c r="D918" s="4">
        <v>-3173.827530429417</v>
      </c>
      <c r="E918" s="4">
        <v>-624.57968634685426</v>
      </c>
    </row>
    <row r="919" spans="1:5" x14ac:dyDescent="0.35">
      <c r="A919" s="2">
        <v>76</v>
      </c>
      <c r="B919" s="2">
        <v>8</v>
      </c>
      <c r="C919" s="4">
        <v>-2153.3911309682562</v>
      </c>
      <c r="D919" s="4">
        <v>-1903.639872768965</v>
      </c>
      <c r="E919" s="4">
        <v>2333.1274372879898</v>
      </c>
    </row>
    <row r="920" spans="1:5" x14ac:dyDescent="0.35">
      <c r="A920" s="2">
        <v>76</v>
      </c>
      <c r="B920" s="2">
        <v>9</v>
      </c>
      <c r="C920" s="4">
        <v>5351.5098340766153</v>
      </c>
      <c r="D920" s="4">
        <v>587.56244517115533</v>
      </c>
      <c r="E920" s="4">
        <v>2226.7314005945632</v>
      </c>
    </row>
    <row r="921" spans="1:5" x14ac:dyDescent="0.35">
      <c r="A921" s="2">
        <v>76</v>
      </c>
      <c r="B921" s="2">
        <v>10</v>
      </c>
      <c r="C921" s="4">
        <v>1230.8278576495679</v>
      </c>
      <c r="D921" s="4">
        <v>2791.6669465840641</v>
      </c>
      <c r="E921" s="4">
        <v>1359.907599309742</v>
      </c>
    </row>
    <row r="925" spans="1:5" x14ac:dyDescent="0.35">
      <c r="A925" s="2">
        <v>77</v>
      </c>
      <c r="B925" s="2">
        <v>1</v>
      </c>
      <c r="C925" s="4">
        <v>8593.1531508932185</v>
      </c>
      <c r="D925" s="4">
        <v>1803.422895122211</v>
      </c>
      <c r="E925" s="4">
        <v>3682.9458171349552</v>
      </c>
    </row>
    <row r="926" spans="1:5" x14ac:dyDescent="0.35">
      <c r="A926" s="2">
        <v>77</v>
      </c>
      <c r="B926" s="2">
        <v>2</v>
      </c>
      <c r="C926" s="4">
        <v>-271.90053490535092</v>
      </c>
      <c r="D926" s="4">
        <v>4084.9110329695268</v>
      </c>
      <c r="E926" s="4">
        <v>-1314.8812890185379</v>
      </c>
    </row>
    <row r="927" spans="1:5" x14ac:dyDescent="0.35">
      <c r="A927" s="2">
        <v>77</v>
      </c>
      <c r="B927" s="2">
        <v>3</v>
      </c>
      <c r="C927" s="4">
        <v>4490.6715213836296</v>
      </c>
      <c r="D927" s="4">
        <v>-1484.34185406916</v>
      </c>
      <c r="E927" s="4">
        <v>-1921.75785648381</v>
      </c>
    </row>
    <row r="928" spans="1:5" x14ac:dyDescent="0.35">
      <c r="A928" s="2">
        <v>77</v>
      </c>
      <c r="B928" s="2">
        <v>4</v>
      </c>
      <c r="C928" s="4">
        <v>-6271.9200554166027</v>
      </c>
      <c r="D928" s="4">
        <v>1279.526379130142</v>
      </c>
      <c r="E928" s="4">
        <v>-467.59758879285113</v>
      </c>
    </row>
    <row r="929" spans="1:5" x14ac:dyDescent="0.35">
      <c r="A929" s="2">
        <v>77</v>
      </c>
      <c r="B929" s="2">
        <v>5</v>
      </c>
      <c r="C929" s="4">
        <v>168.75793172379591</v>
      </c>
      <c r="D929" s="4">
        <v>-2800.266273337817</v>
      </c>
      <c r="E929" s="4">
        <v>691.16001240957007</v>
      </c>
    </row>
    <row r="930" spans="1:5" x14ac:dyDescent="0.35">
      <c r="A930" s="2">
        <v>77</v>
      </c>
      <c r="B930" s="2">
        <v>6</v>
      </c>
      <c r="C930" s="4">
        <v>-3696.622571945531</v>
      </c>
      <c r="D930" s="4">
        <v>-1724.8359241485191</v>
      </c>
      <c r="E930" s="4">
        <v>1044.3832164949399</v>
      </c>
    </row>
    <row r="931" spans="1:5" x14ac:dyDescent="0.35">
      <c r="A931" s="2">
        <v>77</v>
      </c>
      <c r="B931" s="2">
        <v>7</v>
      </c>
      <c r="C931" s="4">
        <v>-6503.0463073030023</v>
      </c>
      <c r="D931" s="4">
        <v>-566.42600137764725</v>
      </c>
      <c r="E931" s="4">
        <v>1403.0330110553771</v>
      </c>
    </row>
    <row r="932" spans="1:5" x14ac:dyDescent="0.35">
      <c r="A932" s="2">
        <v>77</v>
      </c>
      <c r="B932" s="2">
        <v>8</v>
      </c>
      <c r="C932" s="4">
        <v>-5414.019884696816</v>
      </c>
      <c r="D932" s="4">
        <v>169.79450923245281</v>
      </c>
      <c r="E932" s="4">
        <v>279.41463748897559</v>
      </c>
    </row>
    <row r="933" spans="1:5" x14ac:dyDescent="0.35">
      <c r="A933" s="2">
        <v>77</v>
      </c>
      <c r="B933" s="2">
        <v>9</v>
      </c>
      <c r="C933" s="4">
        <v>-419.86334624245632</v>
      </c>
      <c r="D933" s="4">
        <v>129.2874815564472</v>
      </c>
      <c r="E933" s="4">
        <v>-2026.3342716483489</v>
      </c>
    </row>
    <row r="934" spans="1:5" x14ac:dyDescent="0.35">
      <c r="A934" s="2">
        <v>77</v>
      </c>
      <c r="B934" s="2">
        <v>10</v>
      </c>
      <c r="C934" s="4">
        <v>9324.790096510922</v>
      </c>
      <c r="D934" s="4">
        <v>-891.07224507751971</v>
      </c>
      <c r="E934" s="4">
        <v>-1370.365688640177</v>
      </c>
    </row>
  </sheetData>
  <sortState xmlns:xlrd2="http://schemas.microsoft.com/office/spreadsheetml/2017/richdata2" ref="AF66:AF70">
    <sortCondition ref="AF66"/>
  </sortState>
  <phoneticPr fontId="1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639C-50A0-463A-8978-7193F8141D32}">
  <dimension ref="A1:V771"/>
  <sheetViews>
    <sheetView zoomScale="70" zoomScaleNormal="70" workbookViewId="0">
      <selection activeCell="B2" sqref="B2:C11"/>
    </sheetView>
  </sheetViews>
  <sheetFormatPr defaultRowHeight="14.5" x14ac:dyDescent="0.35"/>
  <cols>
    <col min="15" max="15" width="21.453125" customWidth="1"/>
    <col min="16" max="16" width="13.6328125" customWidth="1"/>
    <col min="17" max="17" width="19.36328125" customWidth="1"/>
    <col min="18" max="18" width="15.6328125" customWidth="1"/>
    <col min="19" max="19" width="14.453125" customWidth="1"/>
    <col min="20" max="20" width="17.36328125" customWidth="1"/>
    <col min="21" max="21" width="13.36328125" customWidth="1"/>
  </cols>
  <sheetData>
    <row r="1" spans="1:12" x14ac:dyDescent="0.3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H1" s="1" t="s">
        <v>1</v>
      </c>
      <c r="I1" s="1" t="s">
        <v>0</v>
      </c>
      <c r="J1" s="3" t="s">
        <v>2</v>
      </c>
      <c r="K1" s="3" t="s">
        <v>3</v>
      </c>
      <c r="L1" s="3" t="s">
        <v>4</v>
      </c>
    </row>
    <row r="2" spans="1:12" x14ac:dyDescent="0.35">
      <c r="A2" s="2">
        <v>1</v>
      </c>
      <c r="B2" s="2">
        <v>1</v>
      </c>
      <c r="C2" s="4">
        <v>9337.1508823651147</v>
      </c>
      <c r="D2" s="4">
        <v>-2708.2322340267151</v>
      </c>
      <c r="E2" s="4">
        <v>3645.090064072624</v>
      </c>
      <c r="H2" s="2">
        <v>1</v>
      </c>
      <c r="I2" s="2">
        <v>1</v>
      </c>
      <c r="J2" s="4">
        <v>9337.1508823651147</v>
      </c>
      <c r="K2" s="4">
        <v>-2708.2322340267151</v>
      </c>
      <c r="L2" s="4">
        <v>3645.090064072624</v>
      </c>
    </row>
    <row r="3" spans="1:12" x14ac:dyDescent="0.35">
      <c r="A3" s="2">
        <v>1</v>
      </c>
      <c r="B3" s="2">
        <v>2</v>
      </c>
      <c r="C3" s="4">
        <v>5541.040651756839</v>
      </c>
      <c r="D3" s="4">
        <v>-1815.0199627201141</v>
      </c>
      <c r="E3" s="4">
        <v>-3571.5577666572158</v>
      </c>
      <c r="H3" s="2">
        <v>1</v>
      </c>
      <c r="I3" s="2">
        <v>2</v>
      </c>
      <c r="J3" s="4">
        <v>5760.8525422413359</v>
      </c>
      <c r="K3" s="4">
        <v>986.59717898156703</v>
      </c>
      <c r="L3" s="4">
        <v>4003.0757807513419</v>
      </c>
    </row>
    <row r="4" spans="1:12" x14ac:dyDescent="0.35">
      <c r="A4" s="2">
        <v>1</v>
      </c>
      <c r="B4" s="2">
        <v>3</v>
      </c>
      <c r="C4" s="4">
        <v>-5995.3330345436934</v>
      </c>
      <c r="D4" s="4">
        <v>-2607.3365698073981</v>
      </c>
      <c r="E4" s="4">
        <v>-117.9531568842894</v>
      </c>
      <c r="H4" s="2">
        <v>1</v>
      </c>
      <c r="I4" s="2">
        <v>3</v>
      </c>
      <c r="J4" s="4">
        <v>-5709.5080332521638</v>
      </c>
      <c r="K4" s="4">
        <v>8796.0542113208921</v>
      </c>
      <c r="L4" s="4">
        <v>-3497.069715681771</v>
      </c>
    </row>
    <row r="5" spans="1:12" x14ac:dyDescent="0.35">
      <c r="A5" s="2">
        <v>1</v>
      </c>
      <c r="B5" s="2">
        <v>4</v>
      </c>
      <c r="C5" s="4">
        <v>-1666.619439141637</v>
      </c>
      <c r="D5" s="4">
        <v>1328.564725912968</v>
      </c>
      <c r="E5" s="4">
        <v>-84.147621729705293</v>
      </c>
      <c r="H5" s="2">
        <v>1</v>
      </c>
      <c r="I5" s="2">
        <v>4</v>
      </c>
      <c r="J5" s="4">
        <v>-5192.5742875782043</v>
      </c>
      <c r="K5" s="4">
        <v>-3942.432998730304</v>
      </c>
      <c r="L5" s="4">
        <v>3631.931018404538</v>
      </c>
    </row>
    <row r="6" spans="1:12" x14ac:dyDescent="0.35">
      <c r="A6" s="2">
        <v>1</v>
      </c>
      <c r="B6" s="2">
        <v>5</v>
      </c>
      <c r="C6" s="4">
        <v>1592.8256833844789</v>
      </c>
      <c r="D6" s="4">
        <v>3389.5600921148321</v>
      </c>
      <c r="E6" s="4">
        <v>-57.262904863770054</v>
      </c>
      <c r="H6" s="2">
        <v>1</v>
      </c>
      <c r="I6" s="2">
        <v>5</v>
      </c>
      <c r="J6" s="4">
        <v>-6009.8994898134379</v>
      </c>
      <c r="K6" s="4">
        <v>3606.072772862075</v>
      </c>
      <c r="L6" s="4">
        <v>-1364.911872552367</v>
      </c>
    </row>
    <row r="7" spans="1:12" x14ac:dyDescent="0.35">
      <c r="A7" s="2">
        <v>1</v>
      </c>
      <c r="B7" s="2">
        <v>6</v>
      </c>
      <c r="C7" s="4">
        <v>-6108.2136605965752</v>
      </c>
      <c r="D7" s="4">
        <v>78.753828975387208</v>
      </c>
      <c r="E7" s="4">
        <v>2154.343049551288</v>
      </c>
      <c r="H7" s="2">
        <v>1</v>
      </c>
      <c r="I7" s="2">
        <v>6</v>
      </c>
      <c r="J7" s="4">
        <v>-2522.5424368177378</v>
      </c>
      <c r="K7" s="4">
        <v>-4242.6595754719119</v>
      </c>
      <c r="L7" s="4">
        <v>1767.9613678639521</v>
      </c>
    </row>
    <row r="8" spans="1:12" x14ac:dyDescent="0.35">
      <c r="A8" s="2">
        <v>1</v>
      </c>
      <c r="B8" s="2">
        <v>7</v>
      </c>
      <c r="C8" s="4">
        <v>-1490.8104000354519</v>
      </c>
      <c r="D8" s="4">
        <v>2072.4045878176989</v>
      </c>
      <c r="E8" s="4">
        <v>1092.586454877377</v>
      </c>
      <c r="H8" s="2">
        <v>1</v>
      </c>
      <c r="I8" s="2">
        <v>7</v>
      </c>
      <c r="J8" s="4">
        <v>13406.13244517949</v>
      </c>
      <c r="K8" s="4">
        <v>-3415.5041205210769</v>
      </c>
      <c r="L8" s="4">
        <v>-2070.099584060762</v>
      </c>
    </row>
    <row r="9" spans="1:12" x14ac:dyDescent="0.35">
      <c r="A9" s="2">
        <v>1</v>
      </c>
      <c r="B9" s="2">
        <v>8</v>
      </c>
      <c r="C9" s="4">
        <v>3216.4298431710922</v>
      </c>
      <c r="D9" s="4">
        <v>4280.6349859838874</v>
      </c>
      <c r="E9" s="4">
        <v>-989.64721088209421</v>
      </c>
      <c r="H9" s="2">
        <v>1</v>
      </c>
      <c r="I9" s="2">
        <v>8</v>
      </c>
      <c r="J9" s="4">
        <v>8573.571471916357</v>
      </c>
      <c r="K9" s="4">
        <v>5017.9581814653166</v>
      </c>
      <c r="L9" s="4">
        <v>1560.373101930136</v>
      </c>
    </row>
    <row r="10" spans="1:12" x14ac:dyDescent="0.35">
      <c r="A10" s="2">
        <v>1</v>
      </c>
      <c r="B10" s="2">
        <v>9</v>
      </c>
      <c r="C10" s="4">
        <v>-3633.2018091378941</v>
      </c>
      <c r="D10" s="4">
        <v>-1106.185159259551</v>
      </c>
      <c r="E10" s="4">
        <v>-467.31054692214798</v>
      </c>
      <c r="H10" s="2">
        <v>1</v>
      </c>
      <c r="I10" s="2">
        <v>9</v>
      </c>
      <c r="J10" s="4">
        <v>9607.4010524000259</v>
      </c>
      <c r="K10" s="4">
        <v>7289.5128297681213</v>
      </c>
      <c r="L10" s="4">
        <v>-2826.685614875315</v>
      </c>
    </row>
    <row r="11" spans="1:12" x14ac:dyDescent="0.35">
      <c r="A11" s="2">
        <v>1</v>
      </c>
      <c r="B11" s="2">
        <v>10</v>
      </c>
      <c r="C11" s="4">
        <v>-793.268717222242</v>
      </c>
      <c r="D11" s="4">
        <v>-2913.1442949908451</v>
      </c>
      <c r="E11" s="4">
        <v>-1604.1403605618409</v>
      </c>
      <c r="H11" s="2">
        <v>1</v>
      </c>
      <c r="I11" s="2">
        <v>10</v>
      </c>
      <c r="J11" s="4">
        <v>-7992.4991412602994</v>
      </c>
      <c r="K11" s="4">
        <v>10514.003383558749</v>
      </c>
      <c r="L11" s="4">
        <v>-3877.043730428154</v>
      </c>
    </row>
    <row r="12" spans="1:12" x14ac:dyDescent="0.35">
      <c r="A12" s="2">
        <v>2</v>
      </c>
      <c r="B12" s="2">
        <v>1</v>
      </c>
      <c r="C12" s="4">
        <v>5760.8525422413359</v>
      </c>
      <c r="D12" s="4">
        <v>986.59717898156703</v>
      </c>
      <c r="E12" s="4">
        <v>4003.0757807513419</v>
      </c>
      <c r="H12" s="2">
        <v>1</v>
      </c>
      <c r="I12" s="2">
        <v>11</v>
      </c>
      <c r="J12" s="4">
        <v>-6028.6600681983446</v>
      </c>
      <c r="K12" s="4">
        <v>-2525.4399491291852</v>
      </c>
      <c r="L12" s="4">
        <v>4120.757182272072</v>
      </c>
    </row>
    <row r="13" spans="1:12" x14ac:dyDescent="0.35">
      <c r="A13" s="2">
        <v>2</v>
      </c>
      <c r="B13" s="2">
        <v>2</v>
      </c>
      <c r="C13" s="4">
        <v>1666.68885439732</v>
      </c>
      <c r="D13" s="4">
        <v>4607.4604206122849</v>
      </c>
      <c r="E13" s="4">
        <v>-1390.3827814728861</v>
      </c>
      <c r="H13" s="2">
        <v>1</v>
      </c>
      <c r="I13" s="2">
        <v>12</v>
      </c>
      <c r="J13" s="4">
        <v>12816.88874882148</v>
      </c>
      <c r="K13" s="4">
        <v>2080.84306895502</v>
      </c>
      <c r="L13" s="4">
        <v>-145.77919750746531</v>
      </c>
    </row>
    <row r="14" spans="1:12" x14ac:dyDescent="0.35">
      <c r="A14" s="2">
        <v>2</v>
      </c>
      <c r="B14" s="2">
        <v>3</v>
      </c>
      <c r="C14" s="4">
        <v>121.45008851114309</v>
      </c>
      <c r="D14" s="4">
        <v>-481.74581227036288</v>
      </c>
      <c r="E14" s="4">
        <v>-1420.434691679844</v>
      </c>
      <c r="H14" s="27">
        <v>1</v>
      </c>
      <c r="I14" s="27">
        <v>13</v>
      </c>
      <c r="J14" s="28">
        <v>5692.3563551833176</v>
      </c>
      <c r="K14" s="28">
        <v>2085.0461343147322</v>
      </c>
      <c r="L14" s="28">
        <v>3408.438183976587</v>
      </c>
    </row>
    <row r="15" spans="1:12" x14ac:dyDescent="0.35">
      <c r="A15" s="2">
        <v>2</v>
      </c>
      <c r="B15" s="2">
        <v>4</v>
      </c>
      <c r="C15" s="4">
        <v>-1816.636282463146</v>
      </c>
      <c r="D15" s="4">
        <v>-373.79205531886902</v>
      </c>
      <c r="E15" s="4">
        <v>-219.08394239867661</v>
      </c>
      <c r="H15" s="2">
        <v>1</v>
      </c>
      <c r="I15" s="2">
        <v>14</v>
      </c>
      <c r="J15" s="4">
        <v>-4949.5876111226617</v>
      </c>
      <c r="K15" s="4">
        <v>-2102.4230421124871</v>
      </c>
      <c r="L15" s="4">
        <v>4020.9555233931151</v>
      </c>
    </row>
    <row r="16" spans="1:12" x14ac:dyDescent="0.35">
      <c r="A16" s="2">
        <v>2</v>
      </c>
      <c r="B16" s="2">
        <v>5</v>
      </c>
      <c r="C16" s="4">
        <v>-4171.4160399100947</v>
      </c>
      <c r="D16" s="4">
        <v>3271.8343770561419</v>
      </c>
      <c r="E16" s="4">
        <v>853.60614690784905</v>
      </c>
      <c r="H16" s="2">
        <v>1</v>
      </c>
      <c r="I16" s="2">
        <v>15</v>
      </c>
      <c r="J16" s="4">
        <v>-1355.2786021503809</v>
      </c>
      <c r="K16" s="4">
        <v>3274.2754804948249</v>
      </c>
      <c r="L16" s="4">
        <v>-1108.430089107178</v>
      </c>
    </row>
    <row r="17" spans="1:22" ht="15" thickBot="1" x14ac:dyDescent="0.4">
      <c r="A17" s="2">
        <v>2</v>
      </c>
      <c r="B17" s="2">
        <v>6</v>
      </c>
      <c r="C17" s="4">
        <v>-2962.967741328891</v>
      </c>
      <c r="D17" s="4">
        <v>340.77476485967372</v>
      </c>
      <c r="E17" s="4">
        <v>949.38061589431436</v>
      </c>
      <c r="H17" s="2">
        <v>1</v>
      </c>
      <c r="I17" s="2">
        <v>16</v>
      </c>
      <c r="J17" s="4">
        <v>-6972.3427249109709</v>
      </c>
      <c r="K17" s="4">
        <v>2461.3649441755811</v>
      </c>
      <c r="L17" s="4">
        <v>3731.6106093938888</v>
      </c>
    </row>
    <row r="18" spans="1:22" x14ac:dyDescent="0.35">
      <c r="A18" s="2">
        <v>2</v>
      </c>
      <c r="B18" s="2">
        <v>7</v>
      </c>
      <c r="C18" s="4">
        <v>-1155.514934714904</v>
      </c>
      <c r="D18" s="4">
        <v>-3788.623066726891</v>
      </c>
      <c r="E18" s="4">
        <v>1150.3829912021561</v>
      </c>
      <c r="H18" s="2">
        <v>1</v>
      </c>
      <c r="I18" s="2">
        <v>17</v>
      </c>
      <c r="J18" s="4">
        <v>10112.181865311361</v>
      </c>
      <c r="K18" s="4">
        <v>48.145374079901053</v>
      </c>
      <c r="L18" s="4">
        <v>-1579.563031749509</v>
      </c>
      <c r="O18" s="18" t="s">
        <v>0</v>
      </c>
      <c r="P18" s="18"/>
      <c r="Q18" s="18" t="s">
        <v>2</v>
      </c>
      <c r="R18" s="18"/>
      <c r="S18" s="18" t="s">
        <v>3</v>
      </c>
      <c r="T18" s="18"/>
      <c r="U18" s="18" t="s">
        <v>4</v>
      </c>
      <c r="V18" s="18"/>
    </row>
    <row r="19" spans="1:22" x14ac:dyDescent="0.35">
      <c r="A19" s="2">
        <v>2</v>
      </c>
      <c r="B19" s="2">
        <v>8</v>
      </c>
      <c r="C19" s="4">
        <v>-1839.708077035009</v>
      </c>
      <c r="D19" s="4">
        <v>-1066.412553551889</v>
      </c>
      <c r="E19" s="4">
        <v>727.24689357636919</v>
      </c>
      <c r="H19" s="2">
        <v>1</v>
      </c>
      <c r="I19" s="2">
        <v>18</v>
      </c>
      <c r="J19" s="4">
        <v>6042.4629839101563</v>
      </c>
      <c r="K19" s="4">
        <v>-2574.5564369631579</v>
      </c>
      <c r="L19" s="4">
        <v>-1332.252390948481</v>
      </c>
    </row>
    <row r="20" spans="1:22" x14ac:dyDescent="0.35">
      <c r="A20" s="2">
        <v>2</v>
      </c>
      <c r="B20" s="2">
        <v>9</v>
      </c>
      <c r="C20" s="4">
        <v>1576.2943315350201</v>
      </c>
      <c r="D20" s="4">
        <v>-3372.1084851036221</v>
      </c>
      <c r="E20" s="4">
        <v>-963.95980992539251</v>
      </c>
      <c r="H20" s="2">
        <v>1</v>
      </c>
      <c r="I20" s="2">
        <v>19</v>
      </c>
      <c r="J20" s="4">
        <v>6495.5981108472979</v>
      </c>
      <c r="K20" s="4">
        <v>2298.8292918767129</v>
      </c>
      <c r="L20" s="4">
        <v>-2536.085600237659</v>
      </c>
      <c r="O20" t="s">
        <v>97</v>
      </c>
      <c r="P20">
        <v>39</v>
      </c>
      <c r="Q20" t="s">
        <v>97</v>
      </c>
      <c r="R20">
        <v>2338.1535720150659</v>
      </c>
      <c r="S20" t="s">
        <v>97</v>
      </c>
      <c r="T20">
        <v>1485.7121307177124</v>
      </c>
      <c r="U20" t="s">
        <v>97</v>
      </c>
      <c r="V20">
        <v>396.72621599701722</v>
      </c>
    </row>
    <row r="21" spans="1:22" x14ac:dyDescent="0.35">
      <c r="A21" s="2">
        <v>2</v>
      </c>
      <c r="B21" s="2">
        <v>10</v>
      </c>
      <c r="C21" s="4">
        <v>2820.9572587677239</v>
      </c>
      <c r="D21" s="4">
        <v>-123.9847685379857</v>
      </c>
      <c r="E21" s="4">
        <v>-3689.8312028551181</v>
      </c>
      <c r="H21" s="2">
        <v>1</v>
      </c>
      <c r="I21" s="2">
        <v>20</v>
      </c>
      <c r="J21" s="4">
        <v>6431.1710105073798</v>
      </c>
      <c r="K21" s="4">
        <v>1816.870706530611</v>
      </c>
      <c r="L21" s="4">
        <v>2942.753762418492</v>
      </c>
      <c r="O21" t="s">
        <v>98</v>
      </c>
      <c r="P21">
        <v>2.5495097567963922</v>
      </c>
      <c r="Q21" t="s">
        <v>98</v>
      </c>
      <c r="R21">
        <v>810.17151591027209</v>
      </c>
      <c r="S21" t="s">
        <v>98</v>
      </c>
      <c r="T21">
        <v>404.652188623315</v>
      </c>
      <c r="U21" t="s">
        <v>98</v>
      </c>
      <c r="V21">
        <v>304.41458642230316</v>
      </c>
    </row>
    <row r="22" spans="1:22" x14ac:dyDescent="0.35">
      <c r="A22" s="2">
        <v>3</v>
      </c>
      <c r="B22" s="2">
        <v>1</v>
      </c>
      <c r="C22" s="4">
        <v>-5709.5080332521638</v>
      </c>
      <c r="D22" s="4">
        <v>8796.0542113208921</v>
      </c>
      <c r="E22" s="4">
        <v>-3497.069715681771</v>
      </c>
      <c r="H22" s="2">
        <v>1</v>
      </c>
      <c r="I22" s="2">
        <v>21</v>
      </c>
      <c r="J22" s="4">
        <v>17272.228146695528</v>
      </c>
      <c r="K22" s="4">
        <v>169.3987307925785</v>
      </c>
      <c r="L22" s="4">
        <v>-330.7796755449009</v>
      </c>
      <c r="O22" t="s">
        <v>99</v>
      </c>
      <c r="P22">
        <v>39</v>
      </c>
      <c r="Q22" t="s">
        <v>99</v>
      </c>
      <c r="R22">
        <v>1260.4951383171219</v>
      </c>
      <c r="S22" t="s">
        <v>99</v>
      </c>
      <c r="T22">
        <v>1615.550765407278</v>
      </c>
      <c r="U22" t="s">
        <v>99</v>
      </c>
      <c r="V22">
        <v>-305.31921890891311</v>
      </c>
    </row>
    <row r="23" spans="1:22" x14ac:dyDescent="0.35">
      <c r="A23" s="2">
        <v>3</v>
      </c>
      <c r="B23" s="2">
        <v>2</v>
      </c>
      <c r="C23" s="4">
        <v>530.07452323435552</v>
      </c>
      <c r="D23" s="4">
        <v>3374.4605755265411</v>
      </c>
      <c r="E23" s="4">
        <v>4457.235193505524</v>
      </c>
      <c r="H23" s="2">
        <v>1</v>
      </c>
      <c r="I23" s="2">
        <v>22</v>
      </c>
      <c r="J23" s="4">
        <v>-5806.9609612845479</v>
      </c>
      <c r="K23" s="4">
        <v>2736.7033235395679</v>
      </c>
      <c r="L23" s="4">
        <v>3168.399633013832</v>
      </c>
      <c r="O23" t="s">
        <v>100</v>
      </c>
      <c r="P23" t="e">
        <v>#N/A</v>
      </c>
      <c r="Q23" t="s">
        <v>100</v>
      </c>
      <c r="R23" t="e">
        <v>#N/A</v>
      </c>
      <c r="S23" t="s">
        <v>100</v>
      </c>
      <c r="T23" t="e">
        <v>#N/A</v>
      </c>
      <c r="U23" t="s">
        <v>100</v>
      </c>
      <c r="V23" t="e">
        <v>#N/A</v>
      </c>
    </row>
    <row r="24" spans="1:22" x14ac:dyDescent="0.35">
      <c r="A24" s="2">
        <v>3</v>
      </c>
      <c r="B24" s="2">
        <v>3</v>
      </c>
      <c r="C24" s="4">
        <v>317.8524644972145</v>
      </c>
      <c r="D24" s="4">
        <v>-2252.035742724619</v>
      </c>
      <c r="E24" s="4">
        <v>-407.91951790360019</v>
      </c>
      <c r="H24" s="2">
        <v>1</v>
      </c>
      <c r="I24" s="2">
        <v>23</v>
      </c>
      <c r="J24" s="4">
        <v>1927.8924981979801</v>
      </c>
      <c r="K24" s="4">
        <v>2488.4948741603512</v>
      </c>
      <c r="L24" s="4">
        <v>1094.4029034850321</v>
      </c>
      <c r="O24" t="s">
        <v>101</v>
      </c>
      <c r="P24">
        <v>22.371857321197094</v>
      </c>
      <c r="Q24" t="s">
        <v>101</v>
      </c>
      <c r="R24">
        <v>7109.2261997921278</v>
      </c>
      <c r="S24" t="s">
        <v>101</v>
      </c>
      <c r="T24">
        <v>3550.8085444498688</v>
      </c>
      <c r="U24" t="s">
        <v>101</v>
      </c>
      <c r="V24">
        <v>2671.2271548584117</v>
      </c>
    </row>
    <row r="25" spans="1:22" x14ac:dyDescent="0.35">
      <c r="A25" s="2">
        <v>3</v>
      </c>
      <c r="B25" s="2">
        <v>4</v>
      </c>
      <c r="C25" s="4">
        <v>6115.9852297943808</v>
      </c>
      <c r="D25" s="4">
        <v>76.685745707616022</v>
      </c>
      <c r="E25" s="4">
        <v>-1581.030072416102</v>
      </c>
      <c r="H25" s="2">
        <v>1</v>
      </c>
      <c r="I25" s="2">
        <v>24</v>
      </c>
      <c r="J25" s="4">
        <v>4765.3244263521119</v>
      </c>
      <c r="K25" s="4">
        <v>-1333.792615462793</v>
      </c>
      <c r="L25" s="4">
        <v>2885.336101641823</v>
      </c>
      <c r="O25" t="s">
        <v>102</v>
      </c>
      <c r="P25">
        <v>500.5</v>
      </c>
      <c r="Q25" t="s">
        <v>102</v>
      </c>
      <c r="R25">
        <v>50541097.159810819</v>
      </c>
      <c r="S25" t="s">
        <v>102</v>
      </c>
      <c r="T25">
        <v>12608241.319338195</v>
      </c>
      <c r="U25" t="s">
        <v>102</v>
      </c>
      <c r="V25">
        <v>7135454.512852964</v>
      </c>
    </row>
    <row r="26" spans="1:22" x14ac:dyDescent="0.35">
      <c r="A26" s="2">
        <v>3</v>
      </c>
      <c r="B26" s="2">
        <v>5</v>
      </c>
      <c r="C26" s="4">
        <v>7229.6343361661711</v>
      </c>
      <c r="D26" s="4">
        <v>561.78271989139319</v>
      </c>
      <c r="E26" s="4">
        <v>-1578.3795370804801</v>
      </c>
      <c r="H26" s="2">
        <v>1</v>
      </c>
      <c r="I26" s="2">
        <v>25</v>
      </c>
      <c r="J26" s="4">
        <v>2281.7968662618259</v>
      </c>
      <c r="K26" s="4">
        <v>-2470.1292132681938</v>
      </c>
      <c r="L26" s="4">
        <v>-1761.6701067345659</v>
      </c>
      <c r="O26" t="s">
        <v>103</v>
      </c>
      <c r="P26">
        <v>-1.2000000000000002</v>
      </c>
      <c r="Q26" t="s">
        <v>103</v>
      </c>
      <c r="R26">
        <v>-1.0189079919836819</v>
      </c>
      <c r="S26" t="s">
        <v>103</v>
      </c>
      <c r="T26">
        <v>-4.6575290023691096E-2</v>
      </c>
      <c r="U26" t="s">
        <v>103</v>
      </c>
      <c r="V26">
        <v>-1.1501615850087541</v>
      </c>
    </row>
    <row r="27" spans="1:22" x14ac:dyDescent="0.35">
      <c r="A27" s="2">
        <v>3</v>
      </c>
      <c r="B27" s="2">
        <v>6</v>
      </c>
      <c r="C27" s="4">
        <v>-613.48491649645075</v>
      </c>
      <c r="D27" s="4">
        <v>-2860.071943799474</v>
      </c>
      <c r="E27" s="4">
        <v>-1549.083335188604</v>
      </c>
      <c r="H27" s="2">
        <v>1</v>
      </c>
      <c r="I27" s="2">
        <v>26</v>
      </c>
      <c r="J27" s="4">
        <v>-5161.8344069904433</v>
      </c>
      <c r="K27" s="4">
        <v>2653.8763518662881</v>
      </c>
      <c r="L27" s="8">
        <v>2132.6749135779592</v>
      </c>
      <c r="O27" t="s">
        <v>104</v>
      </c>
      <c r="P27">
        <v>1.1998199704720991E-17</v>
      </c>
      <c r="Q27" t="s">
        <v>104</v>
      </c>
      <c r="R27">
        <v>3.2658392704177835E-2</v>
      </c>
      <c r="S27" t="s">
        <v>104</v>
      </c>
      <c r="T27">
        <v>0.64325666962836514</v>
      </c>
      <c r="U27" t="s">
        <v>104</v>
      </c>
      <c r="V27">
        <v>7.6906189727670285E-2</v>
      </c>
    </row>
    <row r="28" spans="1:22" x14ac:dyDescent="0.35">
      <c r="A28" s="2">
        <v>3</v>
      </c>
      <c r="B28" s="2">
        <v>7</v>
      </c>
      <c r="C28" s="4">
        <v>-5956.7203902625142</v>
      </c>
      <c r="D28" s="4">
        <v>-5289.3751229855343</v>
      </c>
      <c r="E28" s="4">
        <v>-5.1681233867128222</v>
      </c>
      <c r="H28" s="2">
        <v>1</v>
      </c>
      <c r="I28" s="2">
        <v>27</v>
      </c>
      <c r="J28" s="4">
        <v>-4637.8991918498459</v>
      </c>
      <c r="K28" s="4">
        <v>1791.2532785830981</v>
      </c>
      <c r="L28" s="4">
        <v>2205.2223603390039</v>
      </c>
      <c r="O28" t="s">
        <v>105</v>
      </c>
      <c r="P28">
        <v>76</v>
      </c>
      <c r="Q28" t="s">
        <v>105</v>
      </c>
      <c r="R28">
        <v>32156.501546358108</v>
      </c>
      <c r="S28" t="s">
        <v>105</v>
      </c>
      <c r="T28">
        <v>14756.662959030662</v>
      </c>
      <c r="U28" t="s">
        <v>105</v>
      </c>
      <c r="V28">
        <v>10939.408888104339</v>
      </c>
    </row>
    <row r="29" spans="1:22" x14ac:dyDescent="0.35">
      <c r="A29" s="2">
        <v>3</v>
      </c>
      <c r="B29" s="2">
        <v>8</v>
      </c>
      <c r="C29" s="4">
        <v>946.46311951470091</v>
      </c>
      <c r="D29" s="4">
        <v>-1979.591505258004</v>
      </c>
      <c r="E29" s="4">
        <v>-1190.775484642754</v>
      </c>
      <c r="H29" s="2">
        <v>1</v>
      </c>
      <c r="I29" s="2">
        <v>28</v>
      </c>
      <c r="J29" s="4">
        <v>531.67791882659947</v>
      </c>
      <c r="K29" s="4">
        <v>2004.213691306443</v>
      </c>
      <c r="L29" s="4">
        <v>2173.659797142624</v>
      </c>
      <c r="O29" t="s">
        <v>106</v>
      </c>
      <c r="P29">
        <v>1</v>
      </c>
      <c r="Q29" t="s">
        <v>106</v>
      </c>
      <c r="R29">
        <v>-14884.273399662579</v>
      </c>
      <c r="S29" t="s">
        <v>106</v>
      </c>
      <c r="T29">
        <v>-4242.6595754719119</v>
      </c>
      <c r="U29" t="s">
        <v>106</v>
      </c>
      <c r="V29">
        <v>-5200.0219696610848</v>
      </c>
    </row>
    <row r="30" spans="1:22" x14ac:dyDescent="0.35">
      <c r="A30" s="2">
        <v>3</v>
      </c>
      <c r="B30" s="2">
        <v>9</v>
      </c>
      <c r="C30" s="4">
        <v>-3469.1048871767421</v>
      </c>
      <c r="D30" s="4">
        <v>-3308.0482714058562</v>
      </c>
      <c r="E30" s="4">
        <v>1037.6511140290449</v>
      </c>
      <c r="H30" s="2">
        <v>1</v>
      </c>
      <c r="I30" s="2">
        <v>29</v>
      </c>
      <c r="J30" s="4">
        <v>-4809.6996360147377</v>
      </c>
      <c r="K30" s="4">
        <v>-1043.983643776362</v>
      </c>
      <c r="L30" s="4">
        <v>1866.270847100996</v>
      </c>
      <c r="O30" t="s">
        <v>107</v>
      </c>
      <c r="P30">
        <v>77</v>
      </c>
      <c r="Q30" t="s">
        <v>107</v>
      </c>
      <c r="R30">
        <v>17272.228146695528</v>
      </c>
      <c r="S30" t="s">
        <v>107</v>
      </c>
      <c r="T30">
        <v>10514.003383558749</v>
      </c>
      <c r="U30" t="s">
        <v>107</v>
      </c>
      <c r="V30">
        <v>5739.3869184432542</v>
      </c>
    </row>
    <row r="31" spans="1:22" x14ac:dyDescent="0.35">
      <c r="A31" s="2">
        <v>3</v>
      </c>
      <c r="B31" s="2">
        <v>10</v>
      </c>
      <c r="C31" s="4">
        <v>608.8085539802471</v>
      </c>
      <c r="D31" s="4">
        <v>2880.1393337272889</v>
      </c>
      <c r="E31" s="4">
        <v>4314.5394787657424</v>
      </c>
      <c r="H31" s="2">
        <v>1</v>
      </c>
      <c r="I31" s="2">
        <v>30</v>
      </c>
      <c r="J31" s="4">
        <v>-2914.8007525398339</v>
      </c>
      <c r="K31" s="4">
        <v>1940.9699041700051</v>
      </c>
      <c r="L31" s="4">
        <v>-1939.6667097269551</v>
      </c>
      <c r="O31" t="s">
        <v>65</v>
      </c>
      <c r="P31">
        <v>3003</v>
      </c>
      <c r="Q31" t="s">
        <v>65</v>
      </c>
      <c r="R31">
        <v>180037.82504516008</v>
      </c>
      <c r="S31" t="s">
        <v>65</v>
      </c>
      <c r="T31">
        <v>114399.83406526386</v>
      </c>
      <c r="U31" t="s">
        <v>65</v>
      </c>
      <c r="V31">
        <v>30547.918631770324</v>
      </c>
    </row>
    <row r="32" spans="1:22" x14ac:dyDescent="0.35">
      <c r="A32" s="2">
        <v>4</v>
      </c>
      <c r="B32" s="2">
        <v>1</v>
      </c>
      <c r="C32" s="4">
        <v>-5192.5742875782043</v>
      </c>
      <c r="D32" s="4">
        <v>-3942.432998730304</v>
      </c>
      <c r="E32" s="4">
        <v>3631.931018404538</v>
      </c>
      <c r="H32" s="2">
        <v>1</v>
      </c>
      <c r="I32" s="2">
        <v>31</v>
      </c>
      <c r="J32" s="4">
        <v>-3245.9994028150991</v>
      </c>
      <c r="K32" s="4">
        <v>1771.4114669164439</v>
      </c>
      <c r="L32" s="4">
        <v>-2123.5750194722032</v>
      </c>
      <c r="O32" t="s">
        <v>64</v>
      </c>
      <c r="P32">
        <v>77</v>
      </c>
      <c r="Q32" t="s">
        <v>64</v>
      </c>
      <c r="R32">
        <v>77</v>
      </c>
      <c r="S32" t="s">
        <v>64</v>
      </c>
      <c r="T32">
        <v>77</v>
      </c>
      <c r="U32" t="s">
        <v>64</v>
      </c>
      <c r="V32">
        <v>77</v>
      </c>
    </row>
    <row r="33" spans="1:22" x14ac:dyDescent="0.35">
      <c r="A33" s="2">
        <v>4</v>
      </c>
      <c r="B33" s="2">
        <v>2</v>
      </c>
      <c r="C33" s="4">
        <v>-5175.6848671710286</v>
      </c>
      <c r="D33" s="4">
        <v>-2176.5789912947121</v>
      </c>
      <c r="E33" s="4">
        <v>-1733.358057271279</v>
      </c>
      <c r="H33" s="2">
        <v>1</v>
      </c>
      <c r="I33" s="2">
        <v>32</v>
      </c>
      <c r="J33" s="4">
        <v>14244.42535791509</v>
      </c>
      <c r="K33" s="4">
        <v>-1691.7870788680959</v>
      </c>
      <c r="L33" s="4">
        <v>-3764.084897974154</v>
      </c>
      <c r="O33" t="s">
        <v>108</v>
      </c>
      <c r="P33">
        <v>77</v>
      </c>
      <c r="Q33" t="s">
        <v>108</v>
      </c>
      <c r="R33">
        <v>17272.228146695528</v>
      </c>
      <c r="S33" t="s">
        <v>108</v>
      </c>
      <c r="T33">
        <v>10514.003383558749</v>
      </c>
      <c r="U33" t="s">
        <v>108</v>
      </c>
      <c r="V33">
        <v>5739.3869184432542</v>
      </c>
    </row>
    <row r="34" spans="1:22" x14ac:dyDescent="0.35">
      <c r="A34" s="2">
        <v>4</v>
      </c>
      <c r="B34" s="2">
        <v>3</v>
      </c>
      <c r="C34" s="4">
        <v>4576.2955875046982</v>
      </c>
      <c r="D34" s="4">
        <v>-1635.530928692411</v>
      </c>
      <c r="E34" s="4">
        <v>-2804.7231594188211</v>
      </c>
      <c r="H34" s="2">
        <v>1</v>
      </c>
      <c r="I34" s="2">
        <v>33</v>
      </c>
      <c r="J34" s="4">
        <v>-2938.2935471064552</v>
      </c>
      <c r="K34" s="4">
        <v>1615.550765407278</v>
      </c>
      <c r="L34" s="4">
        <v>-1107.9518059394959</v>
      </c>
      <c r="O34" t="s">
        <v>109</v>
      </c>
      <c r="P34">
        <v>1</v>
      </c>
      <c r="Q34" t="s">
        <v>109</v>
      </c>
      <c r="R34">
        <v>-14884.273399662579</v>
      </c>
      <c r="S34" t="s">
        <v>109</v>
      </c>
      <c r="T34">
        <v>-4242.6595754719119</v>
      </c>
      <c r="U34" t="s">
        <v>109</v>
      </c>
      <c r="V34">
        <v>-5200.0219696610848</v>
      </c>
    </row>
    <row r="35" spans="1:22" ht="15" thickBot="1" x14ac:dyDescent="0.4">
      <c r="A35" s="2">
        <v>4</v>
      </c>
      <c r="B35" s="2">
        <v>4</v>
      </c>
      <c r="C35" s="4">
        <v>5764.2131426529713</v>
      </c>
      <c r="D35" s="4">
        <v>110.8051791763591</v>
      </c>
      <c r="E35" s="4">
        <v>2.4001260373677278</v>
      </c>
      <c r="H35" s="2">
        <v>1</v>
      </c>
      <c r="I35" s="2">
        <v>34</v>
      </c>
      <c r="J35" s="4">
        <v>852.96850493773616</v>
      </c>
      <c r="K35" s="4">
        <v>1837.350732237835</v>
      </c>
      <c r="L35" s="4">
        <v>-377.31363425029969</v>
      </c>
      <c r="O35" s="16" t="s">
        <v>110</v>
      </c>
      <c r="P35" s="16">
        <v>5.0777887506331982</v>
      </c>
      <c r="Q35" s="16" t="s">
        <v>110</v>
      </c>
      <c r="R35" s="16">
        <v>1613.5964173527834</v>
      </c>
      <c r="S35" s="16" t="s">
        <v>110</v>
      </c>
      <c r="T35" s="16">
        <v>805.93468051382183</v>
      </c>
      <c r="U35" s="16" t="s">
        <v>110</v>
      </c>
      <c r="V35" s="16">
        <v>606.29419375360897</v>
      </c>
    </row>
    <row r="36" spans="1:22" x14ac:dyDescent="0.35">
      <c r="A36" s="2">
        <v>4</v>
      </c>
      <c r="B36" s="2">
        <v>5</v>
      </c>
      <c r="C36" s="4">
        <v>-2846.324166750212</v>
      </c>
      <c r="D36" s="4">
        <v>3420.1164505941938</v>
      </c>
      <c r="E36" s="4">
        <v>940.66105751356849</v>
      </c>
      <c r="H36" s="2">
        <v>1</v>
      </c>
      <c r="I36" s="2">
        <v>35</v>
      </c>
      <c r="J36" s="4">
        <v>-645.75250757670142</v>
      </c>
      <c r="K36" s="4">
        <v>-1545.0985428465749</v>
      </c>
      <c r="L36" s="4">
        <v>-940.61983089455316</v>
      </c>
    </row>
    <row r="37" spans="1:22" x14ac:dyDescent="0.35">
      <c r="A37" s="2">
        <v>4</v>
      </c>
      <c r="B37" s="2">
        <v>6</v>
      </c>
      <c r="C37" s="4">
        <v>-343.40147390983537</v>
      </c>
      <c r="D37" s="4">
        <v>2447.7717145577731</v>
      </c>
      <c r="E37" s="4">
        <v>1012.810400209164</v>
      </c>
      <c r="H37" s="2">
        <v>1</v>
      </c>
      <c r="I37" s="2">
        <v>36</v>
      </c>
      <c r="J37" s="4">
        <v>-7944.0396912749529</v>
      </c>
      <c r="K37" s="4">
        <v>-1168.196579744558</v>
      </c>
      <c r="L37" s="4">
        <v>-1343.8794994957341</v>
      </c>
    </row>
    <row r="38" spans="1:22" x14ac:dyDescent="0.35">
      <c r="A38" s="2">
        <v>4</v>
      </c>
      <c r="B38" s="2">
        <v>7</v>
      </c>
      <c r="C38" s="4">
        <v>9412.3954974127882</v>
      </c>
      <c r="D38" s="4">
        <v>-259.95355153599172</v>
      </c>
      <c r="E38" s="4">
        <v>2147.148889998824</v>
      </c>
      <c r="H38" s="2">
        <v>1</v>
      </c>
      <c r="I38" s="2">
        <v>37</v>
      </c>
      <c r="J38" s="4">
        <v>-1909.12602994895</v>
      </c>
      <c r="K38" s="4">
        <v>-1512.635033327723</v>
      </c>
      <c r="L38" s="4">
        <v>784.00430199104972</v>
      </c>
    </row>
    <row r="39" spans="1:22" x14ac:dyDescent="0.35">
      <c r="A39" s="2">
        <v>4</v>
      </c>
      <c r="B39" s="2">
        <v>8</v>
      </c>
      <c r="C39" s="4">
        <v>-4296.7407407395121</v>
      </c>
      <c r="D39" s="4">
        <v>3964.0837864109708</v>
      </c>
      <c r="E39" s="4">
        <v>-501.98695662414929</v>
      </c>
      <c r="H39" s="2">
        <v>1</v>
      </c>
      <c r="I39" s="2">
        <v>38</v>
      </c>
      <c r="J39" s="4">
        <v>1006.783214837724</v>
      </c>
      <c r="K39" s="4">
        <v>3606.6283800517272</v>
      </c>
      <c r="L39" s="4">
        <v>354.89112275271691</v>
      </c>
    </row>
    <row r="40" spans="1:22" x14ac:dyDescent="0.35">
      <c r="A40" s="2">
        <v>4</v>
      </c>
      <c r="B40" s="2">
        <v>9</v>
      </c>
      <c r="C40" s="4">
        <v>1575.1332855133039</v>
      </c>
      <c r="D40" s="4">
        <v>-303.74910184821078</v>
      </c>
      <c r="E40" s="4">
        <v>-1186.9995075882359</v>
      </c>
      <c r="H40" s="2">
        <v>1</v>
      </c>
      <c r="I40" s="2">
        <v>39</v>
      </c>
      <c r="J40" s="8">
        <v>8690.0466565167171</v>
      </c>
      <c r="K40" s="4">
        <v>687.73251147229519</v>
      </c>
      <c r="L40" s="4">
        <v>1224.586045888065</v>
      </c>
    </row>
    <row r="41" spans="1:22" x14ac:dyDescent="0.35">
      <c r="A41" s="2">
        <v>4</v>
      </c>
      <c r="B41" s="2">
        <v>10</v>
      </c>
      <c r="C41" s="4">
        <v>-3473.3119769350278</v>
      </c>
      <c r="D41" s="4">
        <v>-1624.5315586372651</v>
      </c>
      <c r="E41" s="4">
        <v>-1507.8838112604651</v>
      </c>
      <c r="H41" s="2">
        <v>1</v>
      </c>
      <c r="I41" s="2">
        <v>40</v>
      </c>
      <c r="J41" s="4">
        <v>996.12704154797291</v>
      </c>
      <c r="K41" s="4">
        <v>2412.7822237201758</v>
      </c>
      <c r="L41" s="4">
        <v>1606.903337050747</v>
      </c>
    </row>
    <row r="42" spans="1:22" x14ac:dyDescent="0.35">
      <c r="A42" s="2">
        <v>5</v>
      </c>
      <c r="B42" s="2">
        <v>1</v>
      </c>
      <c r="C42" s="4">
        <v>-6009.8994898134379</v>
      </c>
      <c r="D42" s="4">
        <v>3606.072772862075</v>
      </c>
      <c r="E42" s="4">
        <v>-1364.911872552367</v>
      </c>
      <c r="H42" s="2">
        <v>1</v>
      </c>
      <c r="I42" s="2">
        <v>41</v>
      </c>
      <c r="J42" s="4">
        <v>-1082.706033526815</v>
      </c>
      <c r="K42" s="4">
        <v>-1579.234299774025</v>
      </c>
      <c r="L42" s="4">
        <v>-1104.35335556988</v>
      </c>
    </row>
    <row r="43" spans="1:22" x14ac:dyDescent="0.35">
      <c r="A43" s="2">
        <v>5</v>
      </c>
      <c r="B43" s="2">
        <v>2</v>
      </c>
      <c r="C43" s="4">
        <v>-6699.0638076035657</v>
      </c>
      <c r="D43" s="4">
        <v>1147.841796604818</v>
      </c>
      <c r="E43" s="4">
        <v>1112.0570319298761</v>
      </c>
      <c r="H43" s="2">
        <v>1</v>
      </c>
      <c r="I43" s="2">
        <v>42</v>
      </c>
      <c r="J43" s="4">
        <v>5136.8444707902481</v>
      </c>
      <c r="K43" s="4">
        <v>-1649.5011190987061</v>
      </c>
      <c r="L43" s="4">
        <v>-1614.322581780312</v>
      </c>
    </row>
    <row r="44" spans="1:22" x14ac:dyDescent="0.35">
      <c r="A44" s="2">
        <v>5</v>
      </c>
      <c r="B44" s="2">
        <v>3</v>
      </c>
      <c r="C44" s="4">
        <v>-4289.026602432662</v>
      </c>
      <c r="D44" s="4">
        <v>-2408.3977734725072</v>
      </c>
      <c r="E44" s="4">
        <v>3759.8389761853568</v>
      </c>
      <c r="H44" s="2">
        <v>1</v>
      </c>
      <c r="I44" s="2">
        <v>43</v>
      </c>
      <c r="J44" s="4">
        <v>11274.88872797729</v>
      </c>
      <c r="K44" s="4">
        <v>8585.8980811517085</v>
      </c>
      <c r="L44" s="4">
        <v>-5200.0219696610848</v>
      </c>
    </row>
    <row r="45" spans="1:22" x14ac:dyDescent="0.35">
      <c r="A45" s="2">
        <v>5</v>
      </c>
      <c r="B45" s="2">
        <v>4</v>
      </c>
      <c r="C45" s="4">
        <v>-3436.5439479409679</v>
      </c>
      <c r="D45" s="4">
        <v>-2438.414869610363</v>
      </c>
      <c r="E45" s="4">
        <v>-833.30532515442474</v>
      </c>
      <c r="H45" s="2">
        <v>1</v>
      </c>
      <c r="I45" s="2">
        <v>44</v>
      </c>
      <c r="J45" s="4">
        <v>-3227.8283723935529</v>
      </c>
      <c r="K45" s="4">
        <v>3215.734032036416</v>
      </c>
      <c r="L45" s="4">
        <v>-305.31921890891311</v>
      </c>
    </row>
    <row r="46" spans="1:22" x14ac:dyDescent="0.35">
      <c r="A46" s="2">
        <v>5</v>
      </c>
      <c r="B46" s="2">
        <v>5</v>
      </c>
      <c r="C46" s="4">
        <v>8327.4247174375105</v>
      </c>
      <c r="D46" s="4">
        <v>-687.45244277826214</v>
      </c>
      <c r="E46" s="4">
        <v>590.84835898471692</v>
      </c>
      <c r="H46" s="2">
        <v>1</v>
      </c>
      <c r="I46" s="2">
        <v>45</v>
      </c>
      <c r="J46" s="4">
        <v>-4666.9528964071133</v>
      </c>
      <c r="K46" s="4">
        <v>-538.80359627075484</v>
      </c>
      <c r="L46" s="4">
        <v>-410.9822788517908</v>
      </c>
    </row>
    <row r="47" spans="1:22" x14ac:dyDescent="0.35">
      <c r="A47" s="2">
        <v>5</v>
      </c>
      <c r="B47" s="2">
        <v>6</v>
      </c>
      <c r="C47" s="4">
        <v>4604.1336014929684</v>
      </c>
      <c r="D47" s="4">
        <v>-690.82209606519484</v>
      </c>
      <c r="E47" s="4">
        <v>-1533.235121481649</v>
      </c>
      <c r="H47" s="2">
        <v>1</v>
      </c>
      <c r="I47" s="2">
        <v>46</v>
      </c>
      <c r="J47" s="4">
        <v>-1697.4814097623159</v>
      </c>
      <c r="K47" s="4">
        <v>-1845.2916126576449</v>
      </c>
      <c r="L47" s="4">
        <v>-663.56608992968813</v>
      </c>
    </row>
    <row r="48" spans="1:22" x14ac:dyDescent="0.35">
      <c r="A48" s="2">
        <v>5</v>
      </c>
      <c r="B48" s="2">
        <v>7</v>
      </c>
      <c r="C48" s="4">
        <v>-540.42233017428271</v>
      </c>
      <c r="D48" s="4">
        <v>-1484.598783717292</v>
      </c>
      <c r="E48" s="4">
        <v>-2678.6489344139782</v>
      </c>
      <c r="H48" s="2">
        <v>1</v>
      </c>
      <c r="I48" s="2">
        <v>47</v>
      </c>
      <c r="J48" s="4">
        <v>4893.4752414190662</v>
      </c>
      <c r="K48" s="4">
        <v>758.45048350896866</v>
      </c>
      <c r="L48" s="4">
        <v>351.1489740388073</v>
      </c>
    </row>
    <row r="49" spans="1:12" x14ac:dyDescent="0.35">
      <c r="A49" s="2">
        <v>5</v>
      </c>
      <c r="B49" s="2">
        <v>8</v>
      </c>
      <c r="C49" s="4">
        <v>-1363.863158615231</v>
      </c>
      <c r="D49" s="4">
        <v>-1742.486255340662</v>
      </c>
      <c r="E49" s="4">
        <v>-1195.232707505329</v>
      </c>
      <c r="H49" s="2">
        <v>1</v>
      </c>
      <c r="I49" s="2">
        <v>48</v>
      </c>
      <c r="J49" s="4">
        <v>-3006.3599298881259</v>
      </c>
      <c r="K49" s="4">
        <v>-1999.1463897811821</v>
      </c>
      <c r="L49" s="4">
        <v>1689.477900020092</v>
      </c>
    </row>
    <row r="50" spans="1:12" x14ac:dyDescent="0.35">
      <c r="A50" s="2">
        <v>5</v>
      </c>
      <c r="B50" s="2">
        <v>9</v>
      </c>
      <c r="C50" s="4">
        <v>6694.5281252863297</v>
      </c>
      <c r="D50" s="4">
        <v>912.55392063381237</v>
      </c>
      <c r="E50" s="4">
        <v>1446.1020270725271</v>
      </c>
      <c r="H50" s="2">
        <v>1</v>
      </c>
      <c r="I50" s="2">
        <v>49</v>
      </c>
      <c r="J50" s="4">
        <v>1260.4951383171219</v>
      </c>
      <c r="K50" s="4">
        <v>-1889.410947115859</v>
      </c>
      <c r="L50" s="4">
        <v>286.32826048664612</v>
      </c>
    </row>
    <row r="51" spans="1:12" x14ac:dyDescent="0.35">
      <c r="A51" s="2">
        <v>5</v>
      </c>
      <c r="B51" s="2">
        <v>10</v>
      </c>
      <c r="C51" s="4">
        <v>2712.7328923631421</v>
      </c>
      <c r="D51" s="4">
        <v>3785.7037308828271</v>
      </c>
      <c r="E51" s="4">
        <v>696.48756693539576</v>
      </c>
      <c r="H51" s="2">
        <v>1</v>
      </c>
      <c r="I51" s="2">
        <v>50</v>
      </c>
      <c r="J51" s="4">
        <v>14500.25302491466</v>
      </c>
      <c r="K51" s="4">
        <v>-3267.1617466909679</v>
      </c>
      <c r="L51" s="4">
        <v>-2952.733552918894</v>
      </c>
    </row>
    <row r="52" spans="1:12" x14ac:dyDescent="0.35">
      <c r="A52" s="2">
        <v>6</v>
      </c>
      <c r="B52" s="2">
        <v>1</v>
      </c>
      <c r="C52" s="4">
        <v>-2522.5424368177378</v>
      </c>
      <c r="D52" s="4">
        <v>-4242.6595754719119</v>
      </c>
      <c r="E52" s="4">
        <v>1767.9613678639521</v>
      </c>
      <c r="H52" s="2">
        <v>1</v>
      </c>
      <c r="I52" s="2">
        <v>51</v>
      </c>
      <c r="J52" s="4">
        <v>-6289.4574264714129</v>
      </c>
      <c r="K52" s="4">
        <v>7508.973147345182</v>
      </c>
      <c r="L52" s="4">
        <v>5739.3869184432542</v>
      </c>
    </row>
    <row r="53" spans="1:12" x14ac:dyDescent="0.35">
      <c r="A53" s="2">
        <v>6</v>
      </c>
      <c r="B53" s="2">
        <v>2</v>
      </c>
      <c r="C53" s="4">
        <v>-3433.3175586345251</v>
      </c>
      <c r="D53" s="4">
        <v>-2538.723680727926</v>
      </c>
      <c r="E53" s="4">
        <v>541.37924079984896</v>
      </c>
      <c r="H53" s="2">
        <v>1</v>
      </c>
      <c r="I53" s="2">
        <v>52</v>
      </c>
      <c r="J53" s="4">
        <v>10011.524873681319</v>
      </c>
      <c r="K53" s="4">
        <v>1393.1086881866579</v>
      </c>
      <c r="L53" s="4">
        <v>3963.1847089292528</v>
      </c>
    </row>
    <row r="54" spans="1:12" x14ac:dyDescent="0.35">
      <c r="A54" s="2">
        <v>6</v>
      </c>
      <c r="B54" s="2">
        <v>3</v>
      </c>
      <c r="C54" s="4">
        <v>1261.050678290934</v>
      </c>
      <c r="D54" s="4">
        <v>-1935.8104342627651</v>
      </c>
      <c r="E54" s="4">
        <v>-2095.7383773329989</v>
      </c>
      <c r="H54" s="2">
        <v>1</v>
      </c>
      <c r="I54" s="2">
        <v>53</v>
      </c>
      <c r="J54" s="4">
        <v>9430.874178762504</v>
      </c>
      <c r="K54" s="4">
        <v>2971.5627560763551</v>
      </c>
      <c r="L54" s="4">
        <v>-3554.6112565577059</v>
      </c>
    </row>
    <row r="55" spans="1:12" x14ac:dyDescent="0.35">
      <c r="A55" s="2">
        <v>6</v>
      </c>
      <c r="B55" s="2">
        <v>4</v>
      </c>
      <c r="C55" s="4">
        <v>-3966.7026491129018</v>
      </c>
      <c r="D55" s="4">
        <v>-1245.862264578006</v>
      </c>
      <c r="E55" s="4">
        <v>-2732.416949088868</v>
      </c>
      <c r="H55" s="2">
        <v>1</v>
      </c>
      <c r="I55" s="2">
        <v>54</v>
      </c>
      <c r="J55" s="4">
        <v>10315.34913327665</v>
      </c>
      <c r="K55" s="4">
        <v>71.309188508152658</v>
      </c>
      <c r="L55" s="4">
        <v>-3462.516981641922</v>
      </c>
    </row>
    <row r="56" spans="1:12" x14ac:dyDescent="0.35">
      <c r="A56" s="2">
        <v>6</v>
      </c>
      <c r="B56" s="2">
        <v>5</v>
      </c>
      <c r="C56" s="4">
        <v>-4155.5818396269042</v>
      </c>
      <c r="D56" s="4">
        <v>5422.6125295850043</v>
      </c>
      <c r="E56" s="4">
        <v>805.17270754178276</v>
      </c>
      <c r="H56" s="2">
        <v>1</v>
      </c>
      <c r="I56" s="2">
        <v>55</v>
      </c>
      <c r="J56" s="4">
        <v>10260.25466952161</v>
      </c>
      <c r="K56" s="4">
        <v>-996.83526326111974</v>
      </c>
      <c r="L56" s="4">
        <v>-3525.8357378525161</v>
      </c>
    </row>
    <row r="57" spans="1:12" x14ac:dyDescent="0.35">
      <c r="A57" s="2">
        <v>6</v>
      </c>
      <c r="B57" s="2">
        <v>6</v>
      </c>
      <c r="C57" s="4">
        <v>6553.7798036502454</v>
      </c>
      <c r="D57" s="4">
        <v>112.71430626317721</v>
      </c>
      <c r="E57" s="4">
        <v>-980.00515848115822</v>
      </c>
      <c r="H57" s="2">
        <v>1</v>
      </c>
      <c r="I57" s="2">
        <v>56</v>
      </c>
      <c r="J57" s="4">
        <v>10704.65115875107</v>
      </c>
      <c r="K57" s="4">
        <v>-1511.561584499221</v>
      </c>
      <c r="L57" s="4">
        <v>-1604.586210359493</v>
      </c>
    </row>
    <row r="58" spans="1:12" x14ac:dyDescent="0.35">
      <c r="A58" s="2">
        <v>6</v>
      </c>
      <c r="B58" s="2">
        <v>7</v>
      </c>
      <c r="C58" s="4">
        <v>2883.0695666739548</v>
      </c>
      <c r="D58" s="4">
        <v>1115.674447719606</v>
      </c>
      <c r="E58" s="4">
        <v>-1287.9013092061059</v>
      </c>
      <c r="H58" s="2">
        <v>1</v>
      </c>
      <c r="I58" s="2">
        <v>57</v>
      </c>
      <c r="J58" s="4">
        <v>11673.654497915801</v>
      </c>
      <c r="K58" s="4">
        <v>-1885.223793830686</v>
      </c>
      <c r="L58" s="4">
        <v>-1871.3386543264919</v>
      </c>
    </row>
    <row r="59" spans="1:12" x14ac:dyDescent="0.35">
      <c r="A59" s="2">
        <v>6</v>
      </c>
      <c r="B59" s="2">
        <v>8</v>
      </c>
      <c r="C59" s="4">
        <v>2479.1293225757372</v>
      </c>
      <c r="D59" s="4">
        <v>1308.088940919705</v>
      </c>
      <c r="E59" s="4">
        <v>-778.88485381863859</v>
      </c>
      <c r="H59" s="2">
        <v>1</v>
      </c>
      <c r="I59" s="2">
        <v>58</v>
      </c>
      <c r="J59" s="4">
        <v>8310.5242211108762</v>
      </c>
      <c r="K59" s="4">
        <v>9194.3260160326518</v>
      </c>
      <c r="L59" s="4">
        <v>-659.41516700979446</v>
      </c>
    </row>
    <row r="60" spans="1:12" x14ac:dyDescent="0.35">
      <c r="A60" s="2">
        <v>6</v>
      </c>
      <c r="B60" s="2">
        <v>9</v>
      </c>
      <c r="C60" s="4">
        <v>-2425.1657448918322</v>
      </c>
      <c r="D60" s="4">
        <v>2303.6256009093472</v>
      </c>
      <c r="E60" s="4">
        <v>399.75032323530178</v>
      </c>
      <c r="H60" s="2">
        <v>1</v>
      </c>
      <c r="I60" s="2">
        <v>59</v>
      </c>
      <c r="J60" s="4">
        <v>-1740.36232897593</v>
      </c>
      <c r="K60" s="4">
        <v>4571.8313220999207</v>
      </c>
      <c r="L60" s="4">
        <v>4274.1021181874466</v>
      </c>
    </row>
    <row r="61" spans="1:12" x14ac:dyDescent="0.35">
      <c r="A61" s="2">
        <v>6</v>
      </c>
      <c r="B61" s="2">
        <v>10</v>
      </c>
      <c r="C61" s="4">
        <v>3326.2808578924678</v>
      </c>
      <c r="D61" s="4">
        <v>-299.65987035624738</v>
      </c>
      <c r="E61" s="4">
        <v>4360.6830084871726</v>
      </c>
      <c r="H61" s="2">
        <v>1</v>
      </c>
      <c r="I61" s="2">
        <v>60</v>
      </c>
      <c r="J61" s="4">
        <v>-2462.430436462198</v>
      </c>
      <c r="K61" s="4">
        <v>-4019.0158638763019</v>
      </c>
      <c r="L61" s="4">
        <v>-1327.433480361077</v>
      </c>
    </row>
    <row r="62" spans="1:12" x14ac:dyDescent="0.35">
      <c r="A62" s="2">
        <v>7</v>
      </c>
      <c r="B62" s="2">
        <v>1</v>
      </c>
      <c r="C62" s="4">
        <v>13406.13244517949</v>
      </c>
      <c r="D62" s="4">
        <v>-3415.5041205210769</v>
      </c>
      <c r="E62" s="4">
        <v>-2070.099584060762</v>
      </c>
      <c r="H62" s="2">
        <v>1</v>
      </c>
      <c r="I62" s="2">
        <v>61</v>
      </c>
      <c r="J62" s="4">
        <v>-4315.7038377479694</v>
      </c>
      <c r="K62" s="4">
        <v>4897.1256445572008</v>
      </c>
      <c r="L62" s="4">
        <v>3874.8195852031681</v>
      </c>
    </row>
    <row r="63" spans="1:12" x14ac:dyDescent="0.35">
      <c r="A63" s="2">
        <v>7</v>
      </c>
      <c r="B63" s="2">
        <v>2</v>
      </c>
      <c r="C63" s="4">
        <v>870.56543580413791</v>
      </c>
      <c r="D63" s="4">
        <v>-1429.3391841066771</v>
      </c>
      <c r="E63" s="4">
        <v>5099.9564775772069</v>
      </c>
      <c r="H63" s="2">
        <v>1</v>
      </c>
      <c r="I63" s="2">
        <v>62</v>
      </c>
      <c r="J63" s="4">
        <v>12050.94108499928</v>
      </c>
      <c r="K63" s="4">
        <v>322.3832571024904</v>
      </c>
      <c r="L63" s="4">
        <v>-3276.1025338713648</v>
      </c>
    </row>
    <row r="64" spans="1:12" x14ac:dyDescent="0.35">
      <c r="A64" s="2">
        <v>7</v>
      </c>
      <c r="B64" s="2">
        <v>3</v>
      </c>
      <c r="C64" s="4">
        <v>-6882.1312700112021</v>
      </c>
      <c r="D64" s="4">
        <v>-3364.4207886380041</v>
      </c>
      <c r="E64" s="4">
        <v>-471.51251979574818</v>
      </c>
      <c r="H64" s="2">
        <v>1</v>
      </c>
      <c r="I64" s="2">
        <v>63</v>
      </c>
      <c r="J64" s="4">
        <v>-1310.1368106065991</v>
      </c>
      <c r="K64" s="4">
        <v>5138.7142143602177</v>
      </c>
      <c r="L64" s="4">
        <v>3878.306505349397</v>
      </c>
    </row>
    <row r="65" spans="1:12" x14ac:dyDescent="0.35">
      <c r="A65" s="2">
        <v>7</v>
      </c>
      <c r="B65" s="2">
        <v>4</v>
      </c>
      <c r="C65" s="4">
        <v>-2528.1164255122439</v>
      </c>
      <c r="D65" s="4">
        <v>459.38735903433252</v>
      </c>
      <c r="E65" s="4">
        <v>-1266.3575946293111</v>
      </c>
      <c r="H65" s="2">
        <v>1</v>
      </c>
      <c r="I65" s="2">
        <v>64</v>
      </c>
      <c r="J65" s="4">
        <v>-4896.7668753719181</v>
      </c>
      <c r="K65" s="4">
        <v>-2779.272544709605</v>
      </c>
      <c r="L65" s="4">
        <v>4859.8084724667988</v>
      </c>
    </row>
    <row r="66" spans="1:12" x14ac:dyDescent="0.35">
      <c r="A66" s="2">
        <v>7</v>
      </c>
      <c r="B66" s="2">
        <v>5</v>
      </c>
      <c r="C66" s="4">
        <v>-5090.8065626859789</v>
      </c>
      <c r="D66" s="4">
        <v>-848.82709979227059</v>
      </c>
      <c r="E66" s="4">
        <v>-2177.057085638854</v>
      </c>
      <c r="H66" s="2">
        <v>1</v>
      </c>
      <c r="I66" s="2">
        <v>65</v>
      </c>
      <c r="J66" s="4">
        <v>9460.7466828080032</v>
      </c>
      <c r="K66" s="4">
        <v>3952.589770665053</v>
      </c>
      <c r="L66" s="4">
        <v>3643.5793950690918</v>
      </c>
    </row>
    <row r="67" spans="1:12" x14ac:dyDescent="0.35">
      <c r="A67" s="2">
        <v>7</v>
      </c>
      <c r="B67" s="2">
        <v>6</v>
      </c>
      <c r="C67" s="4">
        <v>-1492.240699357448</v>
      </c>
      <c r="D67" s="4">
        <v>1674.487271864248</v>
      </c>
      <c r="E67" s="4">
        <v>-1600.7788419788219</v>
      </c>
      <c r="H67" s="2">
        <v>1</v>
      </c>
      <c r="I67" s="2">
        <v>66</v>
      </c>
      <c r="J67" s="4">
        <v>4306.0339919799944</v>
      </c>
      <c r="K67" s="4">
        <v>7266.2983874598403</v>
      </c>
      <c r="L67" s="4">
        <v>-1191.4996176026141</v>
      </c>
    </row>
    <row r="68" spans="1:12" x14ac:dyDescent="0.35">
      <c r="A68" s="2">
        <v>7</v>
      </c>
      <c r="B68" s="2">
        <v>7</v>
      </c>
      <c r="C68" s="4">
        <v>-923.35277737838533</v>
      </c>
      <c r="D68" s="4">
        <v>1694.3871247424231</v>
      </c>
      <c r="E68" s="4">
        <v>-1503.101810617474</v>
      </c>
      <c r="H68" s="2">
        <v>1</v>
      </c>
      <c r="I68" s="2">
        <v>67</v>
      </c>
      <c r="J68" s="4">
        <v>7423.1255269527592</v>
      </c>
      <c r="K68" s="4">
        <v>10495.77364198652</v>
      </c>
      <c r="L68" s="4">
        <v>-1223.6760671316231</v>
      </c>
    </row>
    <row r="69" spans="1:12" x14ac:dyDescent="0.35">
      <c r="A69" s="2">
        <v>7</v>
      </c>
      <c r="B69" s="2">
        <v>8</v>
      </c>
      <c r="C69" s="4">
        <v>1071.7745986418061</v>
      </c>
      <c r="D69" s="4">
        <v>3110.648072235022</v>
      </c>
      <c r="E69" s="4">
        <v>-127.92324977177501</v>
      </c>
      <c r="H69" s="2">
        <v>1</v>
      </c>
      <c r="I69" s="2">
        <v>68</v>
      </c>
      <c r="J69" s="4">
        <v>-8719.5173158053276</v>
      </c>
      <c r="K69" s="4">
        <v>6118.5692821575558</v>
      </c>
      <c r="L69" s="4">
        <v>-1449.5204095653321</v>
      </c>
    </row>
    <row r="70" spans="1:12" x14ac:dyDescent="0.35">
      <c r="A70" s="2">
        <v>7</v>
      </c>
      <c r="B70" s="2">
        <v>9</v>
      </c>
      <c r="C70" s="4">
        <v>3582.6123212437478</v>
      </c>
      <c r="D70" s="4">
        <v>4594.7633794058074</v>
      </c>
      <c r="E70" s="4">
        <v>1864.6154381980091</v>
      </c>
      <c r="H70" s="2">
        <v>1</v>
      </c>
      <c r="I70" s="2">
        <v>69</v>
      </c>
      <c r="J70" s="4">
        <v>3035.8508573855952</v>
      </c>
      <c r="K70" s="4">
        <v>5862.1687295013444</v>
      </c>
      <c r="L70" s="4">
        <v>3579.59971337039</v>
      </c>
    </row>
    <row r="71" spans="1:12" x14ac:dyDescent="0.35">
      <c r="A71" s="2">
        <v>7</v>
      </c>
      <c r="B71" s="2">
        <v>10</v>
      </c>
      <c r="C71" s="4">
        <v>-2014.437065923307</v>
      </c>
      <c r="D71" s="4">
        <v>-2475.5820142240432</v>
      </c>
      <c r="E71" s="4">
        <v>2252.2587707179669</v>
      </c>
      <c r="H71" s="2">
        <v>1</v>
      </c>
      <c r="I71" s="2">
        <v>70</v>
      </c>
      <c r="J71" s="4">
        <v>10104.431684428069</v>
      </c>
      <c r="K71" s="4">
        <v>691.63355824057021</v>
      </c>
      <c r="L71" s="4">
        <v>3540.3615422928351</v>
      </c>
    </row>
    <row r="72" spans="1:12" x14ac:dyDescent="0.35">
      <c r="A72" s="2">
        <v>8</v>
      </c>
      <c r="B72" s="2">
        <v>1</v>
      </c>
      <c r="C72" s="4">
        <v>8573.571471916357</v>
      </c>
      <c r="D72" s="4">
        <v>5017.9581814653166</v>
      </c>
      <c r="E72" s="4">
        <v>1560.373101930136</v>
      </c>
      <c r="H72" s="2">
        <v>1</v>
      </c>
      <c r="I72" s="2">
        <v>71</v>
      </c>
      <c r="J72" s="4">
        <v>-4009.4005615372589</v>
      </c>
      <c r="K72" s="4">
        <v>2066.7952095336268</v>
      </c>
      <c r="L72" s="4">
        <v>1952.869987792832</v>
      </c>
    </row>
    <row r="73" spans="1:12" x14ac:dyDescent="0.35">
      <c r="A73" s="2">
        <v>8</v>
      </c>
      <c r="B73" s="2">
        <v>2</v>
      </c>
      <c r="C73" s="4">
        <v>-3622.79495321282</v>
      </c>
      <c r="D73" s="4">
        <v>5767.1365345666791</v>
      </c>
      <c r="E73" s="4">
        <v>-2853.0805627190689</v>
      </c>
      <c r="H73" s="2">
        <v>1</v>
      </c>
      <c r="I73" s="2">
        <v>72</v>
      </c>
      <c r="J73" s="4">
        <v>-14884.273399662579</v>
      </c>
      <c r="K73" s="4">
        <v>1067.386557193405</v>
      </c>
      <c r="L73" s="4">
        <v>-1036.783440965193</v>
      </c>
    </row>
    <row r="74" spans="1:12" x14ac:dyDescent="0.35">
      <c r="A74" s="2">
        <v>8</v>
      </c>
      <c r="B74" s="2">
        <v>3</v>
      </c>
      <c r="C74" s="4">
        <v>-1199.012550250487</v>
      </c>
      <c r="D74" s="4">
        <v>-483.07119581088261</v>
      </c>
      <c r="E74" s="4">
        <v>-1532.4275609144941</v>
      </c>
      <c r="H74" s="2">
        <v>1</v>
      </c>
      <c r="I74" s="2">
        <v>73</v>
      </c>
      <c r="J74" s="4">
        <v>7328.7255920151547</v>
      </c>
      <c r="K74" s="4">
        <v>186.2360593391756</v>
      </c>
      <c r="L74" s="4">
        <v>3413.2536733253978</v>
      </c>
    </row>
    <row r="75" spans="1:12" x14ac:dyDescent="0.35">
      <c r="A75" s="2">
        <v>8</v>
      </c>
      <c r="B75" s="2">
        <v>4</v>
      </c>
      <c r="C75" s="4">
        <v>-56.481070292173833</v>
      </c>
      <c r="D75" s="4">
        <v>-2395.901098260962</v>
      </c>
      <c r="E75" s="4">
        <v>859.06621322109186</v>
      </c>
      <c r="H75" s="2">
        <v>1</v>
      </c>
      <c r="I75" s="2">
        <v>74</v>
      </c>
      <c r="J75" s="4">
        <v>8928.7574930841838</v>
      </c>
      <c r="K75" s="4">
        <v>-2010.420774658606</v>
      </c>
      <c r="L75" s="4">
        <v>3616.6451536279901</v>
      </c>
    </row>
    <row r="76" spans="1:12" x14ac:dyDescent="0.35">
      <c r="A76" s="2">
        <v>8</v>
      </c>
      <c r="B76" s="2">
        <v>5</v>
      </c>
      <c r="C76" s="4">
        <v>-3412.1771736670971</v>
      </c>
      <c r="D76" s="4">
        <v>423.11775561379318</v>
      </c>
      <c r="E76" s="4">
        <v>2888.36158209922</v>
      </c>
      <c r="H76" s="2">
        <v>1</v>
      </c>
      <c r="I76" s="2">
        <v>75</v>
      </c>
      <c r="J76" s="4">
        <v>8496.3099977746479</v>
      </c>
      <c r="K76" s="4">
        <v>4747.5144340562729</v>
      </c>
      <c r="L76" s="4">
        <v>-2276.3060045270649</v>
      </c>
    </row>
    <row r="77" spans="1:12" x14ac:dyDescent="0.35">
      <c r="A77" s="2">
        <v>8</v>
      </c>
      <c r="B77" s="2">
        <v>6</v>
      </c>
      <c r="C77" s="4">
        <v>164.53183940156549</v>
      </c>
      <c r="D77" s="4">
        <v>-2612.844844262157</v>
      </c>
      <c r="E77" s="4">
        <v>1536.7730707883891</v>
      </c>
      <c r="H77" s="2">
        <v>1</v>
      </c>
      <c r="I77" s="2">
        <v>76</v>
      </c>
      <c r="J77" s="4">
        <v>-5251.4022972468219</v>
      </c>
      <c r="K77" s="4">
        <v>3767.8395169079831</v>
      </c>
      <c r="L77" s="4">
        <v>-1388.8114358543521</v>
      </c>
    </row>
    <row r="78" spans="1:12" x14ac:dyDescent="0.35">
      <c r="A78" s="2">
        <v>8</v>
      </c>
      <c r="B78" s="2">
        <v>7</v>
      </c>
      <c r="C78" s="4">
        <v>-3523.8410832512709</v>
      </c>
      <c r="D78" s="4">
        <v>899.07080821549221</v>
      </c>
      <c r="E78" s="4">
        <v>2805.0748620210111</v>
      </c>
      <c r="H78" s="2">
        <v>1</v>
      </c>
      <c r="I78" s="2">
        <v>77</v>
      </c>
      <c r="J78" s="4">
        <v>8593.1531508932185</v>
      </c>
      <c r="K78" s="4">
        <v>1803.422895122211</v>
      </c>
      <c r="L78" s="4">
        <v>3682.9458171349552</v>
      </c>
    </row>
    <row r="79" spans="1:12" x14ac:dyDescent="0.35">
      <c r="A79" s="2">
        <v>8</v>
      </c>
      <c r="B79" s="2">
        <v>8</v>
      </c>
      <c r="C79" s="4">
        <v>916.10937365517486</v>
      </c>
      <c r="D79" s="4">
        <v>-2890.597339948567</v>
      </c>
      <c r="E79" s="4">
        <v>54.195874295154731</v>
      </c>
    </row>
    <row r="80" spans="1:12" x14ac:dyDescent="0.35">
      <c r="A80" s="2">
        <v>8</v>
      </c>
      <c r="B80" s="2">
        <v>9</v>
      </c>
      <c r="C80" s="4">
        <v>3040.496819694079</v>
      </c>
      <c r="D80" s="4">
        <v>-4701.1281626836617</v>
      </c>
      <c r="E80" s="4">
        <v>-2741.0829548863489</v>
      </c>
    </row>
    <row r="81" spans="1:5" x14ac:dyDescent="0.35">
      <c r="A81" s="2">
        <v>8</v>
      </c>
      <c r="B81" s="2">
        <v>10</v>
      </c>
      <c r="C81" s="4">
        <v>-880.40267399253639</v>
      </c>
      <c r="D81" s="4">
        <v>976.25936110536611</v>
      </c>
      <c r="E81" s="4">
        <v>-2577.2536258348791</v>
      </c>
    </row>
    <row r="82" spans="1:5" x14ac:dyDescent="0.35">
      <c r="A82" s="2">
        <v>9</v>
      </c>
      <c r="B82" s="2">
        <v>1</v>
      </c>
      <c r="C82" s="4">
        <v>9607.4010524000259</v>
      </c>
      <c r="D82" s="4">
        <v>7289.5128297681213</v>
      </c>
      <c r="E82" s="4">
        <v>-2826.685614875315</v>
      </c>
    </row>
    <row r="83" spans="1:5" x14ac:dyDescent="0.35">
      <c r="A83" s="2">
        <v>9</v>
      </c>
      <c r="B83" s="2">
        <v>2</v>
      </c>
      <c r="C83" s="4">
        <v>5515.8046786248642</v>
      </c>
      <c r="D83" s="4">
        <v>-511.53311462474551</v>
      </c>
      <c r="E83" s="4">
        <v>5084.2572004477825</v>
      </c>
    </row>
    <row r="84" spans="1:5" x14ac:dyDescent="0.35">
      <c r="A84" s="2">
        <v>9</v>
      </c>
      <c r="B84" s="2">
        <v>3</v>
      </c>
      <c r="C84" s="4">
        <v>-1938.66421968957</v>
      </c>
      <c r="D84" s="4">
        <v>-823.56498246308092</v>
      </c>
      <c r="E84" s="4">
        <v>-660.26583990024403</v>
      </c>
    </row>
    <row r="85" spans="1:5" x14ac:dyDescent="0.35">
      <c r="A85" s="2">
        <v>9</v>
      </c>
      <c r="B85" s="2">
        <v>4</v>
      </c>
      <c r="C85" s="4">
        <v>1897.179147600169</v>
      </c>
      <c r="D85" s="4">
        <v>-3925.5854160665008</v>
      </c>
      <c r="E85" s="4">
        <v>-731.4445322729639</v>
      </c>
    </row>
    <row r="86" spans="1:5" x14ac:dyDescent="0.35">
      <c r="A86" s="2">
        <v>9</v>
      </c>
      <c r="B86" s="2">
        <v>5</v>
      </c>
      <c r="C86" s="4">
        <v>-4064.0898534172579</v>
      </c>
      <c r="D86" s="4">
        <v>-357.53063748404008</v>
      </c>
      <c r="E86" s="4">
        <v>-1618.450137477166</v>
      </c>
    </row>
    <row r="87" spans="1:5" x14ac:dyDescent="0.35">
      <c r="A87" s="2">
        <v>9</v>
      </c>
      <c r="B87" s="2">
        <v>6</v>
      </c>
      <c r="C87" s="4">
        <v>4522.03567490763</v>
      </c>
      <c r="D87" s="4">
        <v>-5674.5561658432189</v>
      </c>
      <c r="E87" s="4">
        <v>-689.73122547523985</v>
      </c>
    </row>
    <row r="88" spans="1:5" x14ac:dyDescent="0.35">
      <c r="A88" s="2">
        <v>9</v>
      </c>
      <c r="B88" s="2">
        <v>7</v>
      </c>
      <c r="C88" s="4">
        <v>431.78544698897571</v>
      </c>
      <c r="D88" s="4">
        <v>-2465.8425814876259</v>
      </c>
      <c r="E88" s="4">
        <v>-1302.48628079215</v>
      </c>
    </row>
    <row r="89" spans="1:5" x14ac:dyDescent="0.35">
      <c r="A89" s="2">
        <v>9</v>
      </c>
      <c r="B89" s="2">
        <v>8</v>
      </c>
      <c r="C89" s="4">
        <v>-8782.0166007075586</v>
      </c>
      <c r="D89" s="4">
        <v>2060.2346779238342</v>
      </c>
      <c r="E89" s="4">
        <v>-1605.3977603848471</v>
      </c>
    </row>
    <row r="90" spans="1:5" x14ac:dyDescent="0.35">
      <c r="A90" s="2">
        <v>9</v>
      </c>
      <c r="B90" s="2">
        <v>9</v>
      </c>
      <c r="C90" s="4">
        <v>-2966.1848117545542</v>
      </c>
      <c r="D90" s="4">
        <v>496.51202926807349</v>
      </c>
      <c r="E90" s="4">
        <v>475.87775555875299</v>
      </c>
    </row>
    <row r="91" spans="1:5" x14ac:dyDescent="0.35">
      <c r="A91" s="2">
        <v>9</v>
      </c>
      <c r="B91" s="2">
        <v>10</v>
      </c>
      <c r="C91" s="4">
        <v>-4223.2505149529816</v>
      </c>
      <c r="D91" s="4">
        <v>3912.3533610087829</v>
      </c>
      <c r="E91" s="4">
        <v>3874.3264351714251</v>
      </c>
    </row>
    <row r="92" spans="1:5" x14ac:dyDescent="0.35">
      <c r="A92" s="2">
        <v>10</v>
      </c>
      <c r="B92" s="2">
        <v>1</v>
      </c>
      <c r="C92" s="4">
        <v>-7992.4991412602994</v>
      </c>
      <c r="D92" s="4">
        <v>10514.003383558749</v>
      </c>
      <c r="E92" s="4">
        <v>-3877.043730428154</v>
      </c>
    </row>
    <row r="93" spans="1:5" x14ac:dyDescent="0.35">
      <c r="A93" s="2">
        <v>10</v>
      </c>
      <c r="B93" s="2">
        <v>2</v>
      </c>
      <c r="C93" s="4">
        <v>3097.3605875987878</v>
      </c>
      <c r="D93" s="4">
        <v>4692.9168808530849</v>
      </c>
      <c r="E93" s="4">
        <v>4349.0263780649029</v>
      </c>
    </row>
    <row r="94" spans="1:5" x14ac:dyDescent="0.35">
      <c r="A94" s="2">
        <v>10</v>
      </c>
      <c r="B94" s="2">
        <v>3</v>
      </c>
      <c r="C94" s="4">
        <v>-7620.8990366769931</v>
      </c>
      <c r="D94" s="4">
        <v>-5401.3521713892096</v>
      </c>
      <c r="E94" s="4">
        <v>2041.354050896949</v>
      </c>
    </row>
    <row r="95" spans="1:5" x14ac:dyDescent="0.35">
      <c r="A95" s="2">
        <v>10</v>
      </c>
      <c r="B95" s="2">
        <v>4</v>
      </c>
      <c r="C95" s="4">
        <v>1472.9303418518989</v>
      </c>
      <c r="D95" s="4">
        <v>-2546.5797365709609</v>
      </c>
      <c r="E95" s="4">
        <v>-872.43913159308909</v>
      </c>
    </row>
    <row r="96" spans="1:5" x14ac:dyDescent="0.35">
      <c r="A96" s="2">
        <v>10</v>
      </c>
      <c r="B96" s="2">
        <v>5</v>
      </c>
      <c r="C96" s="4">
        <v>-4384.5325197986258</v>
      </c>
      <c r="D96" s="4">
        <v>-5419.4816491545098</v>
      </c>
      <c r="E96" s="4">
        <v>-602.43464208032924</v>
      </c>
    </row>
    <row r="97" spans="1:5" x14ac:dyDescent="0.35">
      <c r="A97" s="2">
        <v>10</v>
      </c>
      <c r="B97" s="2">
        <v>6</v>
      </c>
      <c r="C97" s="4">
        <v>-1453.59631853519</v>
      </c>
      <c r="D97" s="4">
        <v>-4008.2554344329919</v>
      </c>
      <c r="E97" s="4">
        <v>-1146.542611912231</v>
      </c>
    </row>
    <row r="98" spans="1:5" x14ac:dyDescent="0.35">
      <c r="A98" s="2">
        <v>10</v>
      </c>
      <c r="B98" s="2">
        <v>7</v>
      </c>
      <c r="C98" s="4">
        <v>10885.80718386415</v>
      </c>
      <c r="D98" s="4">
        <v>723.32567589137864</v>
      </c>
      <c r="E98" s="4">
        <v>-2858.6921766470282</v>
      </c>
    </row>
    <row r="99" spans="1:5" x14ac:dyDescent="0.35">
      <c r="A99" s="2">
        <v>10</v>
      </c>
      <c r="B99" s="2">
        <v>8</v>
      </c>
      <c r="C99" s="4">
        <v>3509.5244044942419</v>
      </c>
      <c r="D99" s="4">
        <v>-2141.618908786013</v>
      </c>
      <c r="E99" s="4">
        <v>-1375.3772614593249</v>
      </c>
    </row>
    <row r="100" spans="1:5" x14ac:dyDescent="0.35">
      <c r="A100" s="2">
        <v>10</v>
      </c>
      <c r="B100" s="2">
        <v>9</v>
      </c>
      <c r="C100" s="4">
        <v>1598.2208388911531</v>
      </c>
      <c r="D100" s="4">
        <v>-1470.8240798598131</v>
      </c>
      <c r="E100" s="4">
        <v>236.23855583060629</v>
      </c>
    </row>
    <row r="101" spans="1:5" x14ac:dyDescent="0.35">
      <c r="A101" s="2">
        <v>10</v>
      </c>
      <c r="B101" s="2">
        <v>10</v>
      </c>
      <c r="C101" s="4">
        <v>887.68365956932655</v>
      </c>
      <c r="D101" s="4">
        <v>5057.8660398897337</v>
      </c>
      <c r="E101" s="4">
        <v>4105.9105693273332</v>
      </c>
    </row>
    <row r="102" spans="1:5" x14ac:dyDescent="0.35">
      <c r="A102" s="2">
        <v>11</v>
      </c>
      <c r="B102" s="2">
        <v>1</v>
      </c>
      <c r="C102" s="4">
        <v>-6028.6600681983446</v>
      </c>
      <c r="D102" s="4">
        <v>-2525.4399491291852</v>
      </c>
      <c r="E102" s="4">
        <v>4120.757182272072</v>
      </c>
    </row>
    <row r="103" spans="1:5" x14ac:dyDescent="0.35">
      <c r="A103" s="2">
        <v>11</v>
      </c>
      <c r="B103" s="2">
        <v>2</v>
      </c>
      <c r="C103" s="4">
        <v>-3462.0792240393089</v>
      </c>
      <c r="D103" s="4">
        <v>-2540.8338399830031</v>
      </c>
      <c r="E103" s="4">
        <v>-2068.4433653008132</v>
      </c>
    </row>
    <row r="104" spans="1:5" x14ac:dyDescent="0.35">
      <c r="A104" s="2">
        <v>11</v>
      </c>
      <c r="B104" s="2">
        <v>3</v>
      </c>
      <c r="C104" s="4">
        <v>-5611.8970136831458</v>
      </c>
      <c r="D104" s="4">
        <v>2992.1921540661392</v>
      </c>
      <c r="E104" s="4">
        <v>-1409.245430659412</v>
      </c>
    </row>
    <row r="105" spans="1:5" x14ac:dyDescent="0.35">
      <c r="A105" s="2">
        <v>11</v>
      </c>
      <c r="B105" s="2">
        <v>4</v>
      </c>
      <c r="C105" s="4">
        <v>5936.733977112538</v>
      </c>
      <c r="D105" s="4">
        <v>-871.84741087190548</v>
      </c>
      <c r="E105" s="4">
        <v>-273.50596932448462</v>
      </c>
    </row>
    <row r="106" spans="1:5" x14ac:dyDescent="0.35">
      <c r="A106" s="2">
        <v>11</v>
      </c>
      <c r="B106" s="2">
        <v>5</v>
      </c>
      <c r="C106" s="4">
        <v>922.89192885074181</v>
      </c>
      <c r="D106" s="4">
        <v>2438.5704212777409</v>
      </c>
      <c r="E106" s="4">
        <v>827.30177537049087</v>
      </c>
    </row>
    <row r="107" spans="1:5" x14ac:dyDescent="0.35">
      <c r="A107" s="2">
        <v>11</v>
      </c>
      <c r="B107" s="2">
        <v>6</v>
      </c>
      <c r="C107" s="4">
        <v>-558.57491632284439</v>
      </c>
      <c r="D107" s="4">
        <v>3456.2647613628851</v>
      </c>
      <c r="E107" s="4">
        <v>1333.381575531231</v>
      </c>
    </row>
    <row r="108" spans="1:5" x14ac:dyDescent="0.35">
      <c r="A108" s="2">
        <v>11</v>
      </c>
      <c r="B108" s="2">
        <v>7</v>
      </c>
      <c r="C108" s="4">
        <v>8115.3663019698433</v>
      </c>
      <c r="D108" s="4">
        <v>-557.27511530575998</v>
      </c>
      <c r="E108" s="4">
        <v>357.18952348538181</v>
      </c>
    </row>
    <row r="109" spans="1:5" x14ac:dyDescent="0.35">
      <c r="A109" s="2">
        <v>11</v>
      </c>
      <c r="B109" s="2">
        <v>8</v>
      </c>
      <c r="C109" s="4">
        <v>6699.6667335872198</v>
      </c>
      <c r="D109" s="4">
        <v>-791.9975578088787</v>
      </c>
      <c r="E109" s="4">
        <v>-77.265599140682653</v>
      </c>
    </row>
    <row r="110" spans="1:5" x14ac:dyDescent="0.35">
      <c r="A110" s="2">
        <v>11</v>
      </c>
      <c r="B110" s="2">
        <v>9</v>
      </c>
      <c r="C110" s="4">
        <v>-1650.5105203051919</v>
      </c>
      <c r="D110" s="4">
        <v>175.4038991196158</v>
      </c>
      <c r="E110" s="4">
        <v>-1203.224834464442</v>
      </c>
    </row>
    <row r="111" spans="1:5" x14ac:dyDescent="0.35">
      <c r="A111" s="2">
        <v>11</v>
      </c>
      <c r="B111" s="2">
        <v>10</v>
      </c>
      <c r="C111" s="4">
        <v>-4362.9371989711226</v>
      </c>
      <c r="D111" s="4">
        <v>-1775.0373627282661</v>
      </c>
      <c r="E111" s="4">
        <v>-1606.9448577690291</v>
      </c>
    </row>
    <row r="112" spans="1:5" x14ac:dyDescent="0.35">
      <c r="A112" s="2">
        <v>12</v>
      </c>
      <c r="B112" s="2">
        <v>1</v>
      </c>
      <c r="C112" s="4">
        <v>12816.88874882148</v>
      </c>
      <c r="D112" s="4">
        <v>2080.84306895502</v>
      </c>
      <c r="E112" s="4">
        <v>-145.77919750746531</v>
      </c>
    </row>
    <row r="113" spans="1:5" x14ac:dyDescent="0.35">
      <c r="A113" s="2">
        <v>12</v>
      </c>
      <c r="B113" s="2">
        <v>2</v>
      </c>
      <c r="C113" s="4">
        <v>-3184.7642605993001</v>
      </c>
      <c r="D113" s="4">
        <v>3250.4866558739359</v>
      </c>
      <c r="E113" s="4">
        <v>2980.8556301803501</v>
      </c>
    </row>
    <row r="114" spans="1:5" x14ac:dyDescent="0.35">
      <c r="A114" s="2">
        <v>12</v>
      </c>
      <c r="B114" s="2">
        <v>3</v>
      </c>
      <c r="C114" s="4">
        <v>2443.6016418776612</v>
      </c>
      <c r="D114" s="4">
        <v>577.15695997211083</v>
      </c>
      <c r="E114" s="4">
        <v>-2813.4702613153249</v>
      </c>
    </row>
    <row r="115" spans="1:5" x14ac:dyDescent="0.35">
      <c r="A115" s="2">
        <v>12</v>
      </c>
      <c r="B115" s="2">
        <v>4</v>
      </c>
      <c r="C115" s="4">
        <v>-4204.5078479037529</v>
      </c>
      <c r="D115" s="4">
        <v>-716.08856963821711</v>
      </c>
      <c r="E115" s="4">
        <v>-847.7227600717398</v>
      </c>
    </row>
    <row r="116" spans="1:5" x14ac:dyDescent="0.35">
      <c r="A116" s="2">
        <v>12</v>
      </c>
      <c r="B116" s="2">
        <v>5</v>
      </c>
      <c r="C116" s="4">
        <v>-3170.6019902990101</v>
      </c>
      <c r="D116" s="4">
        <v>-1912.3366528040469</v>
      </c>
      <c r="E116" s="4">
        <v>519.08263414039891</v>
      </c>
    </row>
    <row r="117" spans="1:5" x14ac:dyDescent="0.35">
      <c r="A117" s="2">
        <v>12</v>
      </c>
      <c r="B117" s="2">
        <v>6</v>
      </c>
      <c r="C117" s="4">
        <v>2612.5157750327112</v>
      </c>
      <c r="D117" s="4">
        <v>-3178.335359338349</v>
      </c>
      <c r="E117" s="4">
        <v>1147.5680265752701</v>
      </c>
    </row>
    <row r="118" spans="1:5" x14ac:dyDescent="0.35">
      <c r="A118" s="2">
        <v>12</v>
      </c>
      <c r="B118" s="2">
        <v>7</v>
      </c>
      <c r="C118" s="4">
        <v>3725.083079204072</v>
      </c>
      <c r="D118" s="4">
        <v>-3049.4476191957028</v>
      </c>
      <c r="E118" s="4">
        <v>1358.4454078427391</v>
      </c>
    </row>
    <row r="119" spans="1:5" x14ac:dyDescent="0.35">
      <c r="A119" s="2">
        <v>12</v>
      </c>
      <c r="B119" s="2">
        <v>8</v>
      </c>
      <c r="C119" s="4">
        <v>-4657.0201179516371</v>
      </c>
      <c r="D119" s="4">
        <v>-1262.9531258426521</v>
      </c>
      <c r="E119" s="4">
        <v>-545.43215814639416</v>
      </c>
    </row>
    <row r="120" spans="1:5" x14ac:dyDescent="0.35">
      <c r="A120" s="2">
        <v>12</v>
      </c>
      <c r="B120" s="2">
        <v>9</v>
      </c>
      <c r="C120" s="4">
        <v>-3359.838148630909</v>
      </c>
      <c r="D120" s="4">
        <v>883.50772732777796</v>
      </c>
      <c r="E120" s="4">
        <v>-2138.6694038925989</v>
      </c>
    </row>
    <row r="121" spans="1:5" x14ac:dyDescent="0.35">
      <c r="A121" s="2">
        <v>12</v>
      </c>
      <c r="B121" s="2">
        <v>10</v>
      </c>
      <c r="C121" s="4">
        <v>-3021.3568795508982</v>
      </c>
      <c r="D121" s="4">
        <v>3327.1669146897789</v>
      </c>
      <c r="E121" s="4">
        <v>485.12208219464497</v>
      </c>
    </row>
    <row r="122" spans="1:5" x14ac:dyDescent="0.35">
      <c r="A122" s="2">
        <v>13</v>
      </c>
      <c r="B122" s="7">
        <v>1</v>
      </c>
      <c r="C122" s="8">
        <v>5692.3563551833176</v>
      </c>
      <c r="D122" s="8">
        <v>2085.0461343147322</v>
      </c>
      <c r="E122" s="8">
        <v>3408.438183976587</v>
      </c>
    </row>
    <row r="123" spans="1:5" x14ac:dyDescent="0.35">
      <c r="A123" s="2">
        <v>13</v>
      </c>
      <c r="B123" s="7">
        <v>2</v>
      </c>
      <c r="C123" s="8">
        <v>2158.3679353676289</v>
      </c>
      <c r="D123" s="8">
        <v>2098.4430197970901</v>
      </c>
      <c r="E123" s="8">
        <v>-547.93581012239042</v>
      </c>
    </row>
    <row r="124" spans="1:5" x14ac:dyDescent="0.35">
      <c r="A124" s="2">
        <v>13</v>
      </c>
      <c r="B124" s="7">
        <v>3</v>
      </c>
      <c r="C124" s="8">
        <v>7176.2940836739208</v>
      </c>
      <c r="D124" s="8">
        <v>-1.2148939766683089</v>
      </c>
      <c r="E124" s="8">
        <v>-2191.224717093357</v>
      </c>
    </row>
    <row r="125" spans="1:5" x14ac:dyDescent="0.35">
      <c r="A125" s="2">
        <v>13</v>
      </c>
      <c r="B125" s="7">
        <v>4</v>
      </c>
      <c r="C125" s="8">
        <v>-5844.5040955736586</v>
      </c>
      <c r="D125" s="8">
        <v>173.0049246607758</v>
      </c>
      <c r="E125" s="8">
        <v>-1714.569145082002</v>
      </c>
    </row>
    <row r="126" spans="1:5" x14ac:dyDescent="0.35">
      <c r="A126" s="2">
        <v>13</v>
      </c>
      <c r="B126" s="7">
        <v>5</v>
      </c>
      <c r="C126" s="8">
        <v>-3007.5623492148752</v>
      </c>
      <c r="D126" s="8">
        <v>-1590.018078576782</v>
      </c>
      <c r="E126" s="8">
        <v>368.94047905658232</v>
      </c>
    </row>
    <row r="127" spans="1:5" x14ac:dyDescent="0.35">
      <c r="A127" s="2">
        <v>13</v>
      </c>
      <c r="B127" s="7">
        <v>6</v>
      </c>
      <c r="C127" s="8">
        <v>-4453.8908755334342</v>
      </c>
      <c r="D127" s="8">
        <v>-2538.463110754401</v>
      </c>
      <c r="E127" s="8">
        <v>1459.093752113876</v>
      </c>
    </row>
    <row r="128" spans="1:5" x14ac:dyDescent="0.35">
      <c r="A128" s="2">
        <v>13</v>
      </c>
      <c r="B128" s="7">
        <v>7</v>
      </c>
      <c r="C128" s="8">
        <v>-202.69648572596981</v>
      </c>
      <c r="D128" s="8">
        <v>-2875.315700743085</v>
      </c>
      <c r="E128" s="8">
        <v>1338.0048962534549</v>
      </c>
    </row>
    <row r="129" spans="1:5" x14ac:dyDescent="0.35">
      <c r="A129" s="2">
        <v>13</v>
      </c>
      <c r="B129" s="7">
        <v>8</v>
      </c>
      <c r="C129" s="8">
        <v>5369.5196154439709</v>
      </c>
      <c r="D129" s="8">
        <v>-2249.7223116842379</v>
      </c>
      <c r="E129" s="8">
        <v>-1101.6848685261691</v>
      </c>
    </row>
    <row r="130" spans="1:5" x14ac:dyDescent="0.35">
      <c r="A130" s="2">
        <v>13</v>
      </c>
      <c r="B130" s="7">
        <v>9</v>
      </c>
      <c r="C130" s="8">
        <v>-2266.2462606431191</v>
      </c>
      <c r="D130" s="8">
        <v>1133.0158146950159</v>
      </c>
      <c r="E130" s="8">
        <v>-1456.27032998351</v>
      </c>
    </row>
    <row r="131" spans="1:5" x14ac:dyDescent="0.35">
      <c r="A131" s="2">
        <v>13</v>
      </c>
      <c r="B131" s="7">
        <v>10</v>
      </c>
      <c r="C131" s="8">
        <v>-4621.6379229788236</v>
      </c>
      <c r="D131" s="8">
        <v>3765.2242022676978</v>
      </c>
      <c r="E131" s="8">
        <v>437.20755940664702</v>
      </c>
    </row>
    <row r="132" spans="1:5" x14ac:dyDescent="0.35">
      <c r="A132" s="2">
        <v>14</v>
      </c>
      <c r="B132" s="2">
        <v>1</v>
      </c>
      <c r="C132" s="4">
        <v>-4949.5876111226617</v>
      </c>
      <c r="D132" s="4">
        <v>-2102.4230421124871</v>
      </c>
      <c r="E132" s="4">
        <v>4020.9555233931151</v>
      </c>
    </row>
    <row r="133" spans="1:5" x14ac:dyDescent="0.35">
      <c r="A133" s="2">
        <v>14</v>
      </c>
      <c r="B133" s="2">
        <v>2</v>
      </c>
      <c r="C133" s="4">
        <v>-1690.217190516245</v>
      </c>
      <c r="D133" s="4">
        <v>-2568.8799618320568</v>
      </c>
      <c r="E133" s="4">
        <v>-1563.300357182774</v>
      </c>
    </row>
    <row r="134" spans="1:5" x14ac:dyDescent="0.35">
      <c r="A134" s="2">
        <v>14</v>
      </c>
      <c r="B134" s="2">
        <v>3</v>
      </c>
      <c r="C134" s="4">
        <v>7142.5091082960407</v>
      </c>
      <c r="D134" s="4">
        <v>-2415.2460904932718</v>
      </c>
      <c r="E134" s="4">
        <v>-223.59481950418771</v>
      </c>
    </row>
    <row r="135" spans="1:5" x14ac:dyDescent="0.35">
      <c r="A135" s="2">
        <v>14</v>
      </c>
      <c r="B135" s="2">
        <v>4</v>
      </c>
      <c r="C135" s="4">
        <v>2752.626280133315</v>
      </c>
      <c r="D135" s="4">
        <v>-170.0125821231745</v>
      </c>
      <c r="E135" s="4">
        <v>172.57409697277899</v>
      </c>
    </row>
    <row r="136" spans="1:5" x14ac:dyDescent="0.35">
      <c r="A136" s="2">
        <v>14</v>
      </c>
      <c r="B136" s="2">
        <v>5</v>
      </c>
      <c r="C136" s="4">
        <v>2484.2032464591748</v>
      </c>
      <c r="D136" s="4">
        <v>2101.816135635494</v>
      </c>
      <c r="E136" s="4">
        <v>418.94787713853532</v>
      </c>
    </row>
    <row r="137" spans="1:5" x14ac:dyDescent="0.35">
      <c r="A137" s="2">
        <v>14</v>
      </c>
      <c r="B137" s="2">
        <v>6</v>
      </c>
      <c r="C137" s="4">
        <v>1260.6207248062881</v>
      </c>
      <c r="D137" s="4">
        <v>2810.8703838860788</v>
      </c>
      <c r="E137" s="4">
        <v>203.92068951881629</v>
      </c>
    </row>
    <row r="138" spans="1:5" x14ac:dyDescent="0.35">
      <c r="A138" s="2">
        <v>14</v>
      </c>
      <c r="B138" s="2">
        <v>7</v>
      </c>
      <c r="C138" s="4">
        <v>-4427.5859963366338</v>
      </c>
      <c r="D138" s="4">
        <v>3612.350338480162</v>
      </c>
      <c r="E138" s="4">
        <v>-425.71884033261381</v>
      </c>
    </row>
    <row r="139" spans="1:5" x14ac:dyDescent="0.35">
      <c r="A139" s="2">
        <v>14</v>
      </c>
      <c r="B139" s="2">
        <v>8</v>
      </c>
      <c r="C139" s="4">
        <v>3615.898809813214</v>
      </c>
      <c r="D139" s="4">
        <v>880.81545756309436</v>
      </c>
      <c r="E139" s="4">
        <v>594.11107545107518</v>
      </c>
    </row>
    <row r="140" spans="1:5" x14ac:dyDescent="0.35">
      <c r="A140" s="2">
        <v>14</v>
      </c>
      <c r="B140" s="2">
        <v>9</v>
      </c>
      <c r="C140" s="4">
        <v>254.34140654040229</v>
      </c>
      <c r="D140" s="4">
        <v>-1020.193655585186</v>
      </c>
      <c r="E140" s="4">
        <v>-1127.740521691667</v>
      </c>
    </row>
    <row r="141" spans="1:5" x14ac:dyDescent="0.35">
      <c r="A141" s="2">
        <v>14</v>
      </c>
      <c r="B141" s="2">
        <v>10</v>
      </c>
      <c r="C141" s="4">
        <v>-6442.8087780725937</v>
      </c>
      <c r="D141" s="4">
        <v>-1129.096983419041</v>
      </c>
      <c r="E141" s="4">
        <v>-2070.1547237627678</v>
      </c>
    </row>
    <row r="142" spans="1:5" x14ac:dyDescent="0.35">
      <c r="A142" s="2">
        <v>15</v>
      </c>
      <c r="B142" s="2">
        <v>1</v>
      </c>
      <c r="C142" s="4">
        <v>-1355.2786021503809</v>
      </c>
      <c r="D142" s="4">
        <v>3274.2754804948249</v>
      </c>
      <c r="E142" s="4">
        <v>-1108.430089107178</v>
      </c>
    </row>
    <row r="143" spans="1:5" x14ac:dyDescent="0.35">
      <c r="A143" s="2">
        <v>15</v>
      </c>
      <c r="B143" s="2">
        <v>2</v>
      </c>
      <c r="C143" s="4">
        <v>2253.6531974353479</v>
      </c>
      <c r="D143" s="4">
        <v>2943.952375064413</v>
      </c>
      <c r="E143" s="4">
        <v>-320.11546061202381</v>
      </c>
    </row>
    <row r="144" spans="1:5" x14ac:dyDescent="0.35">
      <c r="A144" s="2">
        <v>15</v>
      </c>
      <c r="B144" s="2">
        <v>3</v>
      </c>
      <c r="C144" s="4">
        <v>-1286.6778785937729</v>
      </c>
      <c r="D144" s="4">
        <v>1003.974180935012</v>
      </c>
      <c r="E144" s="4">
        <v>980.53616115182751</v>
      </c>
    </row>
    <row r="145" spans="1:5" x14ac:dyDescent="0.35">
      <c r="A145" s="2">
        <v>15</v>
      </c>
      <c r="B145" s="2">
        <v>4</v>
      </c>
      <c r="C145" s="4">
        <v>4872.6362706275559</v>
      </c>
      <c r="D145" s="4">
        <v>-232.27361525127711</v>
      </c>
      <c r="E145" s="4">
        <v>3396.1166829253129</v>
      </c>
    </row>
    <row r="146" spans="1:5" x14ac:dyDescent="0.35">
      <c r="A146" s="2">
        <v>15</v>
      </c>
      <c r="B146" s="2">
        <v>5</v>
      </c>
      <c r="C146" s="4">
        <v>-4165.309572264895</v>
      </c>
      <c r="D146" s="4">
        <v>-2675.507826557402</v>
      </c>
      <c r="E146" s="4">
        <v>-1213.3196972447281</v>
      </c>
    </row>
    <row r="147" spans="1:5" x14ac:dyDescent="0.35">
      <c r="A147" s="2">
        <v>15</v>
      </c>
      <c r="B147" s="2">
        <v>6</v>
      </c>
      <c r="C147" s="4">
        <v>8158.9331739744857</v>
      </c>
      <c r="D147" s="4">
        <v>-1644.809155966183</v>
      </c>
      <c r="E147" s="4">
        <v>-1532.559682636617</v>
      </c>
    </row>
    <row r="148" spans="1:5" x14ac:dyDescent="0.35">
      <c r="A148" s="2">
        <v>15</v>
      </c>
      <c r="B148" s="2">
        <v>7</v>
      </c>
      <c r="C148" s="4">
        <v>-1421.1582655761581</v>
      </c>
      <c r="D148" s="4">
        <v>-2557.4880294332552</v>
      </c>
      <c r="E148" s="4">
        <v>-1380.1146624087751</v>
      </c>
    </row>
    <row r="149" spans="1:5" x14ac:dyDescent="0.35">
      <c r="A149" s="2">
        <v>15</v>
      </c>
      <c r="B149" s="2">
        <v>8</v>
      </c>
      <c r="C149" s="4">
        <v>2019.083882964145</v>
      </c>
      <c r="D149" s="4">
        <v>-1615.3264587689721</v>
      </c>
      <c r="E149" s="4">
        <v>469.024986635407</v>
      </c>
    </row>
    <row r="150" spans="1:5" x14ac:dyDescent="0.35">
      <c r="A150" s="2">
        <v>15</v>
      </c>
      <c r="B150" s="2">
        <v>9</v>
      </c>
      <c r="C150" s="4">
        <v>-7351.9151910233131</v>
      </c>
      <c r="D150" s="4">
        <v>-838.74448476319208</v>
      </c>
      <c r="E150" s="4">
        <v>1830.741353551457</v>
      </c>
    </row>
    <row r="151" spans="1:5" x14ac:dyDescent="0.35">
      <c r="A151" s="2">
        <v>15</v>
      </c>
      <c r="B151" s="2">
        <v>10</v>
      </c>
      <c r="C151" s="4">
        <v>-1723.967015393471</v>
      </c>
      <c r="D151" s="4">
        <v>2341.9475342458441</v>
      </c>
      <c r="E151" s="4">
        <v>-1121.879592254819</v>
      </c>
    </row>
    <row r="152" spans="1:5" x14ac:dyDescent="0.35">
      <c r="A152" s="2">
        <v>16</v>
      </c>
      <c r="B152" s="2">
        <v>1</v>
      </c>
      <c r="C152" s="4">
        <v>-6972.3427249109709</v>
      </c>
      <c r="D152" s="4">
        <v>2461.3649441755811</v>
      </c>
      <c r="E152" s="4">
        <v>3731.6106093938888</v>
      </c>
    </row>
    <row r="153" spans="1:5" x14ac:dyDescent="0.35">
      <c r="A153" s="2">
        <v>16</v>
      </c>
      <c r="B153" s="2">
        <v>2</v>
      </c>
      <c r="C153" s="4">
        <v>-3150.2371959515071</v>
      </c>
      <c r="D153" s="4">
        <v>2533.032015338546</v>
      </c>
      <c r="E153" s="4">
        <v>-1389.7376818392991</v>
      </c>
    </row>
    <row r="154" spans="1:5" x14ac:dyDescent="0.35">
      <c r="A154" s="2">
        <v>16</v>
      </c>
      <c r="B154" s="2">
        <v>3</v>
      </c>
      <c r="C154" s="4">
        <v>-4566.1253200776173</v>
      </c>
      <c r="D154" s="4">
        <v>-207.37633034440839</v>
      </c>
      <c r="E154" s="4">
        <v>-2508.387123361616</v>
      </c>
    </row>
    <row r="155" spans="1:5" x14ac:dyDescent="0.35">
      <c r="A155" s="2">
        <v>16</v>
      </c>
      <c r="B155" s="2">
        <v>4</v>
      </c>
      <c r="C155" s="4">
        <v>-4933.1206901253363</v>
      </c>
      <c r="D155" s="4">
        <v>-1848.670924740258</v>
      </c>
      <c r="E155" s="4">
        <v>623.19665530798056</v>
      </c>
    </row>
    <row r="156" spans="1:5" x14ac:dyDescent="0.35">
      <c r="A156" s="2">
        <v>16</v>
      </c>
      <c r="B156" s="2">
        <v>5</v>
      </c>
      <c r="C156" s="4">
        <v>507.52384318030113</v>
      </c>
      <c r="D156" s="4">
        <v>-1831.9984944409159</v>
      </c>
      <c r="E156" s="4">
        <v>452.80938892851941</v>
      </c>
    </row>
    <row r="157" spans="1:5" x14ac:dyDescent="0.35">
      <c r="A157" s="2">
        <v>16</v>
      </c>
      <c r="B157" s="2">
        <v>6</v>
      </c>
      <c r="C157" s="4">
        <v>9417.8268480192746</v>
      </c>
      <c r="D157" s="4">
        <v>-904.35814528929245</v>
      </c>
      <c r="E157" s="4">
        <v>786.54280600393577</v>
      </c>
    </row>
    <row r="158" spans="1:5" x14ac:dyDescent="0.35">
      <c r="A158" s="2">
        <v>16</v>
      </c>
      <c r="B158" s="2">
        <v>7</v>
      </c>
      <c r="C158" s="4">
        <v>3180.0223198950389</v>
      </c>
      <c r="D158" s="4">
        <v>-1892.3172240704739</v>
      </c>
      <c r="E158" s="4">
        <v>655.14496271926316</v>
      </c>
    </row>
    <row r="159" spans="1:5" x14ac:dyDescent="0.35">
      <c r="A159" s="2">
        <v>16</v>
      </c>
      <c r="B159" s="2">
        <v>8</v>
      </c>
      <c r="C159" s="4">
        <v>1274.384916716459</v>
      </c>
      <c r="D159" s="4">
        <v>-1772.7194551263201</v>
      </c>
      <c r="E159" s="4">
        <v>715.0327998646502</v>
      </c>
    </row>
    <row r="160" spans="1:5" x14ac:dyDescent="0.35">
      <c r="A160" s="2">
        <v>16</v>
      </c>
      <c r="B160" s="2">
        <v>9</v>
      </c>
      <c r="C160" s="4">
        <v>-2787.3591341717988</v>
      </c>
      <c r="D160" s="4">
        <v>-461.4921025698867</v>
      </c>
      <c r="E160" s="4">
        <v>-2519.116997826296</v>
      </c>
    </row>
    <row r="161" spans="1:5" x14ac:dyDescent="0.35">
      <c r="A161" s="2">
        <v>16</v>
      </c>
      <c r="B161" s="2">
        <v>10</v>
      </c>
      <c r="C161" s="4">
        <v>8029.427137426318</v>
      </c>
      <c r="D161" s="4">
        <v>3924.5357170675838</v>
      </c>
      <c r="E161" s="4">
        <v>-547.0954191910206</v>
      </c>
    </row>
    <row r="162" spans="1:5" x14ac:dyDescent="0.35">
      <c r="A162" s="2">
        <v>17</v>
      </c>
      <c r="B162" s="2">
        <v>1</v>
      </c>
      <c r="C162" s="4">
        <v>10112.181865311361</v>
      </c>
      <c r="D162" s="4">
        <v>48.145374079901053</v>
      </c>
      <c r="E162" s="4">
        <v>-1579.563031749509</v>
      </c>
    </row>
    <row r="163" spans="1:5" x14ac:dyDescent="0.35">
      <c r="A163" s="2">
        <v>17</v>
      </c>
      <c r="B163" s="2">
        <v>2</v>
      </c>
      <c r="C163" s="4">
        <v>-2176.313773200734</v>
      </c>
      <c r="D163" s="4">
        <v>3690.4809015558071</v>
      </c>
      <c r="E163" s="4">
        <v>2652.5245483566819</v>
      </c>
    </row>
    <row r="164" spans="1:5" x14ac:dyDescent="0.35">
      <c r="A164" s="2">
        <v>17</v>
      </c>
      <c r="B164" s="2">
        <v>3</v>
      </c>
      <c r="C164" s="4">
        <v>-1022.189676962881</v>
      </c>
      <c r="D164" s="4">
        <v>1290.3291034669189</v>
      </c>
      <c r="E164" s="4">
        <v>-2224.3268793255879</v>
      </c>
    </row>
    <row r="165" spans="1:5" x14ac:dyDescent="0.35">
      <c r="A165" s="2">
        <v>17</v>
      </c>
      <c r="B165" s="2">
        <v>4</v>
      </c>
      <c r="C165" s="4">
        <v>-4003.8145620147779</v>
      </c>
      <c r="D165" s="4">
        <v>-159.32329690706069</v>
      </c>
      <c r="E165" s="4">
        <v>-1105.738524744243</v>
      </c>
    </row>
    <row r="166" spans="1:5" x14ac:dyDescent="0.35">
      <c r="A166" s="2">
        <v>17</v>
      </c>
      <c r="B166" s="2">
        <v>5</v>
      </c>
      <c r="C166" s="4">
        <v>808.05654732218238</v>
      </c>
      <c r="D166" s="4">
        <v>-2539.849004826815</v>
      </c>
      <c r="E166" s="4">
        <v>694.6245595420894</v>
      </c>
    </row>
    <row r="167" spans="1:5" x14ac:dyDescent="0.35">
      <c r="A167" s="2">
        <v>17</v>
      </c>
      <c r="B167" s="2">
        <v>6</v>
      </c>
      <c r="C167" s="4">
        <v>-935.58817456004215</v>
      </c>
      <c r="D167" s="4">
        <v>-2880.5113346106818</v>
      </c>
      <c r="E167" s="4">
        <v>1077.854463832733</v>
      </c>
    </row>
    <row r="168" spans="1:5" x14ac:dyDescent="0.35">
      <c r="A168" s="2">
        <v>17</v>
      </c>
      <c r="B168" s="2">
        <v>7</v>
      </c>
      <c r="C168" s="4">
        <v>-2218.9405020502918</v>
      </c>
      <c r="D168" s="4">
        <v>-2979.4115814140068</v>
      </c>
      <c r="E168" s="4">
        <v>1074.793230020497</v>
      </c>
    </row>
    <row r="169" spans="1:5" x14ac:dyDescent="0.35">
      <c r="A169" s="2">
        <v>17</v>
      </c>
      <c r="B169" s="2">
        <v>8</v>
      </c>
      <c r="C169" s="4">
        <v>-802.0257105379884</v>
      </c>
      <c r="D169" s="4">
        <v>-1078.809910573932</v>
      </c>
      <c r="E169" s="4">
        <v>-756.28805986830696</v>
      </c>
    </row>
    <row r="170" spans="1:5" x14ac:dyDescent="0.35">
      <c r="A170" s="2">
        <v>17</v>
      </c>
      <c r="B170" s="2">
        <v>9</v>
      </c>
      <c r="C170" s="4">
        <v>-4987.3827706203756</v>
      </c>
      <c r="D170" s="4">
        <v>2347.8568332010918</v>
      </c>
      <c r="E170" s="4">
        <v>-1605.932065074009</v>
      </c>
    </row>
    <row r="171" spans="1:5" x14ac:dyDescent="0.35">
      <c r="A171" s="2">
        <v>17</v>
      </c>
      <c r="B171" s="2">
        <v>10</v>
      </c>
      <c r="C171" s="4">
        <v>5226.016757313625</v>
      </c>
      <c r="D171" s="4">
        <v>2261.092916028208</v>
      </c>
      <c r="E171" s="4">
        <v>1772.0517590100319</v>
      </c>
    </row>
    <row r="172" spans="1:5" x14ac:dyDescent="0.35">
      <c r="A172" s="2">
        <v>18</v>
      </c>
      <c r="B172" s="2">
        <v>1</v>
      </c>
      <c r="C172" s="4">
        <v>6042.4629839101563</v>
      </c>
      <c r="D172" s="4">
        <v>-2574.5564369631579</v>
      </c>
      <c r="E172" s="4">
        <v>-1332.252390948481</v>
      </c>
    </row>
    <row r="173" spans="1:5" x14ac:dyDescent="0.35">
      <c r="A173" s="2">
        <v>18</v>
      </c>
      <c r="B173" s="2">
        <v>2</v>
      </c>
      <c r="C173" s="4">
        <v>-593.11229506096311</v>
      </c>
      <c r="D173" s="4">
        <v>-2545.0694778451539</v>
      </c>
      <c r="E173" s="4">
        <v>-1126.8358416974729</v>
      </c>
    </row>
    <row r="174" spans="1:5" x14ac:dyDescent="0.35">
      <c r="A174" s="2">
        <v>18</v>
      </c>
      <c r="B174" s="2">
        <v>3</v>
      </c>
      <c r="C174" s="4">
        <v>-6439.7090447783594</v>
      </c>
      <c r="D174" s="4">
        <v>-1767.0321425438169</v>
      </c>
      <c r="E174" s="4">
        <v>1354.79615229772</v>
      </c>
    </row>
    <row r="175" spans="1:5" x14ac:dyDescent="0.35">
      <c r="A175" s="2">
        <v>18</v>
      </c>
      <c r="B175" s="2">
        <v>4</v>
      </c>
      <c r="C175" s="4">
        <v>1169.0542950850779</v>
      </c>
      <c r="D175" s="4">
        <v>808.65143596095459</v>
      </c>
      <c r="E175" s="4">
        <v>1551.5178249703361</v>
      </c>
    </row>
    <row r="176" spans="1:5" x14ac:dyDescent="0.35">
      <c r="A176" s="2">
        <v>18</v>
      </c>
      <c r="B176" s="2">
        <v>5</v>
      </c>
      <c r="C176" s="4">
        <v>-6115.8598996972278</v>
      </c>
      <c r="D176" s="4">
        <v>2169.1528844025479</v>
      </c>
      <c r="E176" s="4">
        <v>-886.57935978831563</v>
      </c>
    </row>
    <row r="177" spans="1:5" x14ac:dyDescent="0.35">
      <c r="A177" s="2">
        <v>18</v>
      </c>
      <c r="B177" s="2">
        <v>6</v>
      </c>
      <c r="C177" s="4">
        <v>8598.0724547407954</v>
      </c>
      <c r="D177" s="4">
        <v>3249.495756771078</v>
      </c>
      <c r="E177" s="4">
        <v>-931.87623281735193</v>
      </c>
    </row>
    <row r="178" spans="1:5" x14ac:dyDescent="0.35">
      <c r="A178" s="2">
        <v>18</v>
      </c>
      <c r="B178" s="2">
        <v>7</v>
      </c>
      <c r="C178" s="4">
        <v>-4528.0178415098708</v>
      </c>
      <c r="D178" s="4">
        <v>2528.3162033227582</v>
      </c>
      <c r="E178" s="4">
        <v>-984.49004282785984</v>
      </c>
    </row>
    <row r="179" spans="1:5" x14ac:dyDescent="0.35">
      <c r="A179" s="2">
        <v>18</v>
      </c>
      <c r="B179" s="2">
        <v>8</v>
      </c>
      <c r="C179" s="4">
        <v>-1575.596676481314</v>
      </c>
      <c r="D179" s="4">
        <v>1404.535238558022</v>
      </c>
      <c r="E179" s="4">
        <v>1135.805009260788</v>
      </c>
    </row>
    <row r="180" spans="1:5" x14ac:dyDescent="0.35">
      <c r="A180" s="2">
        <v>18</v>
      </c>
      <c r="B180" s="2">
        <v>9</v>
      </c>
      <c r="C180" s="4">
        <v>5506.119593721096</v>
      </c>
      <c r="D180" s="4">
        <v>-798.44739665141083</v>
      </c>
      <c r="E180" s="4">
        <v>2210.3800744538289</v>
      </c>
    </row>
    <row r="181" spans="1:5" x14ac:dyDescent="0.35">
      <c r="A181" s="2">
        <v>18</v>
      </c>
      <c r="B181" s="2">
        <v>10</v>
      </c>
      <c r="C181" s="4">
        <v>-2063.413569930105</v>
      </c>
      <c r="D181" s="4">
        <v>-2475.0460650116711</v>
      </c>
      <c r="E181" s="4">
        <v>-990.46519290300932</v>
      </c>
    </row>
    <row r="182" spans="1:5" x14ac:dyDescent="0.35">
      <c r="A182" s="2">
        <v>19</v>
      </c>
      <c r="B182" s="2">
        <v>1</v>
      </c>
      <c r="C182" s="4">
        <v>6495.5981108472979</v>
      </c>
      <c r="D182" s="4">
        <v>2298.8292918767129</v>
      </c>
      <c r="E182" s="4">
        <v>-2536.085600237659</v>
      </c>
    </row>
    <row r="183" spans="1:5" x14ac:dyDescent="0.35">
      <c r="A183" s="2">
        <v>19</v>
      </c>
      <c r="B183" s="2">
        <v>2</v>
      </c>
      <c r="C183" s="4">
        <v>2975.1004617769149</v>
      </c>
      <c r="D183" s="4">
        <v>2530.9892304621831</v>
      </c>
      <c r="E183" s="4">
        <v>533.50868920544383</v>
      </c>
    </row>
    <row r="184" spans="1:5" x14ac:dyDescent="0.35">
      <c r="A184" s="2">
        <v>19</v>
      </c>
      <c r="B184" s="2">
        <v>3</v>
      </c>
      <c r="C184" s="4">
        <v>-7441.1074320186972</v>
      </c>
      <c r="D184" s="4">
        <v>1865.667828204643</v>
      </c>
      <c r="E184" s="4">
        <v>-1153.868122139598</v>
      </c>
    </row>
    <row r="185" spans="1:5" x14ac:dyDescent="0.35">
      <c r="A185" s="2">
        <v>19</v>
      </c>
      <c r="B185" s="2">
        <v>4</v>
      </c>
      <c r="C185" s="4">
        <v>157.46474538068441</v>
      </c>
      <c r="D185" s="4">
        <v>-822.16670636465494</v>
      </c>
      <c r="E185" s="4">
        <v>451.63079424681581</v>
      </c>
    </row>
    <row r="186" spans="1:5" x14ac:dyDescent="0.35">
      <c r="A186" s="2">
        <v>19</v>
      </c>
      <c r="B186" s="2">
        <v>5</v>
      </c>
      <c r="C186" s="4">
        <v>522.0716112405072</v>
      </c>
      <c r="D186" s="4">
        <v>-2427.5499139420699</v>
      </c>
      <c r="E186" s="4">
        <v>531.04656444975501</v>
      </c>
    </row>
    <row r="187" spans="1:5" x14ac:dyDescent="0.35">
      <c r="A187" s="2">
        <v>19</v>
      </c>
      <c r="B187" s="2">
        <v>6</v>
      </c>
      <c r="C187" s="4">
        <v>-6982.2323897168608</v>
      </c>
      <c r="D187" s="4">
        <v>-2294.890435995304</v>
      </c>
      <c r="E187" s="4">
        <v>-566.72215845904532</v>
      </c>
    </row>
    <row r="188" spans="1:5" x14ac:dyDescent="0.35">
      <c r="A188" s="2">
        <v>19</v>
      </c>
      <c r="B188" s="2">
        <v>7</v>
      </c>
      <c r="C188" s="4">
        <v>-1068.526739152388</v>
      </c>
      <c r="D188" s="4">
        <v>-2241.414919776932</v>
      </c>
      <c r="E188" s="4">
        <v>-1039.0334870229519</v>
      </c>
    </row>
    <row r="189" spans="1:5" x14ac:dyDescent="0.35">
      <c r="A189" s="2">
        <v>19</v>
      </c>
      <c r="B189" s="2">
        <v>8</v>
      </c>
      <c r="C189" s="4">
        <v>10327.55721909615</v>
      </c>
      <c r="D189" s="4">
        <v>-1790.162667390842</v>
      </c>
      <c r="E189" s="4">
        <v>791.89996525111417</v>
      </c>
    </row>
    <row r="190" spans="1:5" x14ac:dyDescent="0.35">
      <c r="A190" s="2">
        <v>19</v>
      </c>
      <c r="B190" s="2">
        <v>9</v>
      </c>
      <c r="C190" s="4">
        <v>-2547.3565348183379</v>
      </c>
      <c r="D190" s="4">
        <v>813.03056333579354</v>
      </c>
      <c r="E190" s="4">
        <v>76.785123836666656</v>
      </c>
    </row>
    <row r="191" spans="1:5" x14ac:dyDescent="0.35">
      <c r="A191" s="2">
        <v>19</v>
      </c>
      <c r="B191" s="2">
        <v>10</v>
      </c>
      <c r="C191" s="4">
        <v>-2438.5690526355738</v>
      </c>
      <c r="D191" s="4">
        <v>2067.667729590341</v>
      </c>
      <c r="E191" s="4">
        <v>2910.8382308698292</v>
      </c>
    </row>
    <row r="192" spans="1:5" x14ac:dyDescent="0.35">
      <c r="A192" s="2">
        <v>20</v>
      </c>
      <c r="B192" s="2">
        <v>1</v>
      </c>
      <c r="C192" s="4">
        <v>6431.1710105073798</v>
      </c>
      <c r="D192" s="4">
        <v>1816.870706530611</v>
      </c>
      <c r="E192" s="4">
        <v>2942.753762418492</v>
      </c>
    </row>
    <row r="193" spans="1:5" x14ac:dyDescent="0.35">
      <c r="A193" s="2">
        <v>20</v>
      </c>
      <c r="B193" s="2">
        <v>2</v>
      </c>
      <c r="C193" s="4">
        <v>-3719.5178511890449</v>
      </c>
      <c r="D193" s="4">
        <v>3069.7750080961619</v>
      </c>
      <c r="E193" s="4">
        <v>-1005.969998190602</v>
      </c>
    </row>
    <row r="194" spans="1:5" x14ac:dyDescent="0.35">
      <c r="A194" s="2">
        <v>20</v>
      </c>
      <c r="B194" s="2">
        <v>3</v>
      </c>
      <c r="C194" s="4">
        <v>-5014.9244256058273</v>
      </c>
      <c r="D194" s="4">
        <v>1015.4726010696691</v>
      </c>
      <c r="E194" s="4">
        <v>1254.046234821368</v>
      </c>
    </row>
    <row r="195" spans="1:5" x14ac:dyDescent="0.35">
      <c r="A195" s="2">
        <v>20</v>
      </c>
      <c r="B195" s="2">
        <v>4</v>
      </c>
      <c r="C195" s="4">
        <v>-3690.8050348724591</v>
      </c>
      <c r="D195" s="4">
        <v>-1090.3867824923241</v>
      </c>
      <c r="E195" s="4">
        <v>806.7978301520817</v>
      </c>
    </row>
    <row r="196" spans="1:5" x14ac:dyDescent="0.35">
      <c r="A196" s="2">
        <v>20</v>
      </c>
      <c r="B196" s="2">
        <v>5</v>
      </c>
      <c r="C196" s="4">
        <v>8369.9417684578329</v>
      </c>
      <c r="D196" s="4">
        <v>-2111.842487528766</v>
      </c>
      <c r="E196" s="4">
        <v>-761.85469425922111</v>
      </c>
    </row>
    <row r="197" spans="1:5" x14ac:dyDescent="0.35">
      <c r="A197" s="2">
        <v>20</v>
      </c>
      <c r="B197" s="2">
        <v>6</v>
      </c>
      <c r="C197" s="4">
        <v>-4884.6959735603432</v>
      </c>
      <c r="D197" s="4">
        <v>-1916.413014644696</v>
      </c>
      <c r="E197" s="4">
        <v>0.35504234270921908</v>
      </c>
    </row>
    <row r="198" spans="1:5" x14ac:dyDescent="0.35">
      <c r="A198" s="2">
        <v>20</v>
      </c>
      <c r="B198" s="2">
        <v>7</v>
      </c>
      <c r="C198" s="4">
        <v>-2300.5084551494042</v>
      </c>
      <c r="D198" s="4">
        <v>-2173.8449282807128</v>
      </c>
      <c r="E198" s="4">
        <v>-180.52288662079161</v>
      </c>
    </row>
    <row r="199" spans="1:5" x14ac:dyDescent="0.35">
      <c r="A199" s="2">
        <v>20</v>
      </c>
      <c r="B199" s="2">
        <v>8</v>
      </c>
      <c r="C199" s="4">
        <v>2551.9015832450832</v>
      </c>
      <c r="D199" s="4">
        <v>-1536.1160839613719</v>
      </c>
      <c r="E199" s="4">
        <v>-136.76650487142871</v>
      </c>
    </row>
    <row r="200" spans="1:5" x14ac:dyDescent="0.35">
      <c r="A200" s="2">
        <v>20</v>
      </c>
      <c r="B200" s="2">
        <v>9</v>
      </c>
      <c r="C200" s="4">
        <v>-2765.23540245198</v>
      </c>
      <c r="D200" s="4">
        <v>855.58459550245402</v>
      </c>
      <c r="E200" s="4">
        <v>-972.29068578225144</v>
      </c>
    </row>
    <row r="201" spans="1:5" x14ac:dyDescent="0.35">
      <c r="A201" s="2">
        <v>20</v>
      </c>
      <c r="B201" s="2">
        <v>10</v>
      </c>
      <c r="C201" s="4">
        <v>5022.6727806192166</v>
      </c>
      <c r="D201" s="4">
        <v>2070.9003857088628</v>
      </c>
      <c r="E201" s="4">
        <v>-1946.548100010368</v>
      </c>
    </row>
    <row r="202" spans="1:5" x14ac:dyDescent="0.35">
      <c r="A202" s="2">
        <v>21</v>
      </c>
      <c r="B202" s="2">
        <v>1</v>
      </c>
      <c r="C202" s="4">
        <v>17272.228146695528</v>
      </c>
      <c r="D202" s="4">
        <v>169.3987307925785</v>
      </c>
      <c r="E202" s="4">
        <v>-330.7796755449009</v>
      </c>
    </row>
    <row r="203" spans="1:5" x14ac:dyDescent="0.35">
      <c r="A203" s="2">
        <v>21</v>
      </c>
      <c r="B203" s="2">
        <v>2</v>
      </c>
      <c r="C203" s="4">
        <v>-395.82214787933611</v>
      </c>
      <c r="D203" s="4">
        <v>8626.8414392012364</v>
      </c>
      <c r="E203" s="4">
        <v>5.7500043880090397</v>
      </c>
    </row>
    <row r="204" spans="1:5" x14ac:dyDescent="0.35">
      <c r="A204" s="2">
        <v>21</v>
      </c>
      <c r="B204" s="2">
        <v>3</v>
      </c>
      <c r="C204" s="4">
        <v>-1879.6114590661321</v>
      </c>
      <c r="D204" s="4">
        <v>-2291.1833243259648</v>
      </c>
      <c r="E204" s="4">
        <v>3439.7621606904409</v>
      </c>
    </row>
    <row r="205" spans="1:5" x14ac:dyDescent="0.35">
      <c r="A205" s="2">
        <v>21</v>
      </c>
      <c r="B205" s="2">
        <v>4</v>
      </c>
      <c r="C205" s="4">
        <v>-1003.837736008903</v>
      </c>
      <c r="D205" s="4">
        <v>-2776.060547679308</v>
      </c>
      <c r="E205" s="4">
        <v>-474.26302323694432</v>
      </c>
    </row>
    <row r="206" spans="1:5" x14ac:dyDescent="0.35">
      <c r="A206" s="2">
        <v>21</v>
      </c>
      <c r="B206" s="2">
        <v>5</v>
      </c>
      <c r="C206" s="4">
        <v>-3105.4068953651158</v>
      </c>
      <c r="D206" s="4">
        <v>-2109.1090512365631</v>
      </c>
      <c r="E206" s="4">
        <v>-1405.066648256299</v>
      </c>
    </row>
    <row r="207" spans="1:5" x14ac:dyDescent="0.35">
      <c r="A207" s="2">
        <v>21</v>
      </c>
      <c r="B207" s="2">
        <v>6</v>
      </c>
      <c r="C207" s="4">
        <v>-1356.7270978756139</v>
      </c>
      <c r="D207" s="4">
        <v>-3264.9063677970598</v>
      </c>
      <c r="E207" s="4">
        <v>-1922.043478155495</v>
      </c>
    </row>
    <row r="208" spans="1:5" x14ac:dyDescent="0.35">
      <c r="A208" s="2">
        <v>21</v>
      </c>
      <c r="B208" s="2">
        <v>7</v>
      </c>
      <c r="C208" s="4">
        <v>-2443.18457262845</v>
      </c>
      <c r="D208" s="4">
        <v>-2115.4820250996049</v>
      </c>
      <c r="E208" s="4">
        <v>-2226.813756887605</v>
      </c>
    </row>
    <row r="209" spans="1:5" x14ac:dyDescent="0.35">
      <c r="A209" s="2">
        <v>21</v>
      </c>
      <c r="B209" s="2">
        <v>8</v>
      </c>
      <c r="C209" s="4">
        <v>-3121.2606774718802</v>
      </c>
      <c r="D209" s="4">
        <v>-1774.8001856565511</v>
      </c>
      <c r="E209" s="4">
        <v>-629.45441087140068</v>
      </c>
    </row>
    <row r="210" spans="1:5" x14ac:dyDescent="0.35">
      <c r="A210" s="2">
        <v>21</v>
      </c>
      <c r="B210" s="2">
        <v>9</v>
      </c>
      <c r="C210" s="4">
        <v>-547.90023807712862</v>
      </c>
      <c r="D210" s="4">
        <v>-3263.9782328956371</v>
      </c>
      <c r="E210" s="4">
        <v>3288.5597619411319</v>
      </c>
    </row>
    <row r="211" spans="1:5" x14ac:dyDescent="0.35">
      <c r="A211" s="2">
        <v>21</v>
      </c>
      <c r="B211" s="2">
        <v>10</v>
      </c>
      <c r="C211" s="4">
        <v>-3418.4773223235961</v>
      </c>
      <c r="D211" s="4">
        <v>8799.2795646972718</v>
      </c>
      <c r="E211" s="4">
        <v>254.34906593298081</v>
      </c>
    </row>
    <row r="212" spans="1:5" x14ac:dyDescent="0.35">
      <c r="A212" s="2">
        <v>22</v>
      </c>
      <c r="B212" s="2">
        <v>1</v>
      </c>
      <c r="C212" s="4">
        <v>-5806.9609612845479</v>
      </c>
      <c r="D212" s="4">
        <v>2736.7033235395679</v>
      </c>
      <c r="E212" s="4">
        <v>3168.399633013832</v>
      </c>
    </row>
    <row r="213" spans="1:5" x14ac:dyDescent="0.35">
      <c r="A213" s="2">
        <v>22</v>
      </c>
      <c r="B213" s="2">
        <v>2</v>
      </c>
      <c r="C213" s="4">
        <v>-1640.729529059618</v>
      </c>
      <c r="D213" s="4">
        <v>2171.7013408180151</v>
      </c>
      <c r="E213" s="4">
        <v>-2102.5978911433981</v>
      </c>
    </row>
    <row r="214" spans="1:5" x14ac:dyDescent="0.35">
      <c r="A214" s="2">
        <v>22</v>
      </c>
      <c r="B214" s="2">
        <v>3</v>
      </c>
      <c r="C214" s="4">
        <v>8731.2958904836687</v>
      </c>
      <c r="D214" s="4">
        <v>1073.688285950077</v>
      </c>
      <c r="E214" s="4">
        <v>161.05431580061591</v>
      </c>
    </row>
    <row r="215" spans="1:5" x14ac:dyDescent="0.35">
      <c r="A215" s="2">
        <v>22</v>
      </c>
      <c r="B215" s="2">
        <v>4</v>
      </c>
      <c r="C215" s="4">
        <v>-5310.0750487390478</v>
      </c>
      <c r="D215" s="4">
        <v>-1080.561687897442</v>
      </c>
      <c r="E215" s="4">
        <v>-428.37252515890452</v>
      </c>
    </row>
    <row r="216" spans="1:5" x14ac:dyDescent="0.35">
      <c r="A216" s="2">
        <v>22</v>
      </c>
      <c r="B216" s="2">
        <v>5</v>
      </c>
      <c r="C216" s="4">
        <v>4616.5504837367653</v>
      </c>
      <c r="D216" s="4">
        <v>-1822.9749403663791</v>
      </c>
      <c r="E216" s="4">
        <v>652.76642744197329</v>
      </c>
    </row>
    <row r="217" spans="1:5" x14ac:dyDescent="0.35">
      <c r="A217" s="2">
        <v>22</v>
      </c>
      <c r="B217" s="2">
        <v>6</v>
      </c>
      <c r="C217" s="4">
        <v>200.67640852323939</v>
      </c>
      <c r="D217" s="4">
        <v>-1818.3734015408211</v>
      </c>
      <c r="E217" s="4">
        <v>518.41431443848069</v>
      </c>
    </row>
    <row r="218" spans="1:5" x14ac:dyDescent="0.35">
      <c r="A218" s="2">
        <v>22</v>
      </c>
      <c r="B218" s="2">
        <v>7</v>
      </c>
      <c r="C218" s="4">
        <v>-4044.0058156432392</v>
      </c>
      <c r="D218" s="4">
        <v>-2347.6437789810302</v>
      </c>
      <c r="E218" s="4">
        <v>-70.048661519231786</v>
      </c>
    </row>
    <row r="219" spans="1:5" x14ac:dyDescent="0.35">
      <c r="A219" s="2">
        <v>22</v>
      </c>
      <c r="B219" s="2">
        <v>8</v>
      </c>
      <c r="C219" s="4">
        <v>-2373.6052975202779</v>
      </c>
      <c r="D219" s="4">
        <v>-1391.096640160971</v>
      </c>
      <c r="E219" s="4">
        <v>-259.69306824495538</v>
      </c>
    </row>
    <row r="220" spans="1:5" x14ac:dyDescent="0.35">
      <c r="A220" s="2">
        <v>22</v>
      </c>
      <c r="B220" s="2">
        <v>9</v>
      </c>
      <c r="C220" s="4">
        <v>8796.5895539452667</v>
      </c>
      <c r="D220" s="4">
        <v>683.90948158984713</v>
      </c>
      <c r="E220" s="4">
        <v>171.54018558693019</v>
      </c>
    </row>
    <row r="221" spans="1:5" x14ac:dyDescent="0.35">
      <c r="A221" s="2">
        <v>22</v>
      </c>
      <c r="B221" s="2">
        <v>10</v>
      </c>
      <c r="C221" s="4">
        <v>-3169.7356844419119</v>
      </c>
      <c r="D221" s="4">
        <v>1794.648017049193</v>
      </c>
      <c r="E221" s="4">
        <v>-1811.4627302152589</v>
      </c>
    </row>
    <row r="222" spans="1:5" x14ac:dyDescent="0.35">
      <c r="A222" s="2">
        <v>23</v>
      </c>
      <c r="B222" s="2">
        <v>1</v>
      </c>
      <c r="C222" s="4">
        <v>1927.8924981979801</v>
      </c>
      <c r="D222" s="4">
        <v>2488.4948741603512</v>
      </c>
      <c r="E222" s="4">
        <v>1094.4029034850321</v>
      </c>
    </row>
    <row r="223" spans="1:5" x14ac:dyDescent="0.35">
      <c r="A223" s="2">
        <v>23</v>
      </c>
      <c r="B223" s="2">
        <v>2</v>
      </c>
      <c r="C223" s="4">
        <v>-3660.3801312138512</v>
      </c>
      <c r="D223" s="4">
        <v>2475.1346518640521</v>
      </c>
      <c r="E223" s="4">
        <v>-1736.625568711029</v>
      </c>
    </row>
    <row r="224" spans="1:5" x14ac:dyDescent="0.35">
      <c r="A224" s="2">
        <v>23</v>
      </c>
      <c r="B224" s="2">
        <v>3</v>
      </c>
      <c r="C224" s="4">
        <v>9065.6869872553016</v>
      </c>
      <c r="D224" s="4">
        <v>-981.10089239469733</v>
      </c>
      <c r="E224" s="4">
        <v>-1152.0279873680979</v>
      </c>
    </row>
    <row r="225" spans="1:5" x14ac:dyDescent="0.35">
      <c r="A225" s="2">
        <v>23</v>
      </c>
      <c r="B225" s="2">
        <v>4</v>
      </c>
      <c r="C225" s="4">
        <v>-2255.847578795564</v>
      </c>
      <c r="D225" s="4">
        <v>-922.88922857465627</v>
      </c>
      <c r="E225" s="4">
        <v>-1194.915008673971</v>
      </c>
    </row>
    <row r="226" spans="1:5" x14ac:dyDescent="0.35">
      <c r="A226" s="2">
        <v>23</v>
      </c>
      <c r="B226" s="2">
        <v>5</v>
      </c>
      <c r="C226" s="4">
        <v>341.37859502165168</v>
      </c>
      <c r="D226" s="4">
        <v>-2132.7025284996671</v>
      </c>
      <c r="E226" s="4">
        <v>-263.50245919230917</v>
      </c>
    </row>
    <row r="227" spans="1:5" x14ac:dyDescent="0.35">
      <c r="A227" s="2">
        <v>23</v>
      </c>
      <c r="B227" s="2">
        <v>6</v>
      </c>
      <c r="C227" s="4">
        <v>1909.3708524841491</v>
      </c>
      <c r="D227" s="4">
        <v>-1960.414601160104</v>
      </c>
      <c r="E227" s="4">
        <v>1948.6826792636521</v>
      </c>
    </row>
    <row r="228" spans="1:5" x14ac:dyDescent="0.35">
      <c r="A228" s="2">
        <v>23</v>
      </c>
      <c r="B228" s="2">
        <v>7</v>
      </c>
      <c r="C228" s="4">
        <v>-4860.8931326605407</v>
      </c>
      <c r="D228" s="4">
        <v>-1895.6402397295301</v>
      </c>
      <c r="E228" s="4">
        <v>-391.17375437476272</v>
      </c>
    </row>
    <row r="229" spans="1:5" x14ac:dyDescent="0.35">
      <c r="A229" s="2">
        <v>23</v>
      </c>
      <c r="B229" s="2">
        <v>8</v>
      </c>
      <c r="C229" s="4">
        <v>-5215.2599929350254</v>
      </c>
      <c r="D229" s="4">
        <v>-300.61562691542679</v>
      </c>
      <c r="E229" s="4">
        <v>277.69492060273319</v>
      </c>
    </row>
    <row r="230" spans="1:5" x14ac:dyDescent="0.35">
      <c r="A230" s="2">
        <v>23</v>
      </c>
      <c r="B230" s="2">
        <v>9</v>
      </c>
      <c r="C230" s="4">
        <v>-407.01571583034718</v>
      </c>
      <c r="D230" s="4">
        <v>1523.3401023283111</v>
      </c>
      <c r="E230" s="4">
        <v>2603.651585213619</v>
      </c>
    </row>
    <row r="231" spans="1:5" x14ac:dyDescent="0.35">
      <c r="A231" s="2">
        <v>23</v>
      </c>
      <c r="B231" s="2">
        <v>10</v>
      </c>
      <c r="C231" s="4">
        <v>3155.0676184761628</v>
      </c>
      <c r="D231" s="4">
        <v>1706.393488921696</v>
      </c>
      <c r="E231" s="4">
        <v>-1186.1873102447221</v>
      </c>
    </row>
    <row r="232" spans="1:5" x14ac:dyDescent="0.35">
      <c r="A232" s="2">
        <v>24</v>
      </c>
      <c r="B232" s="2">
        <v>1</v>
      </c>
      <c r="C232" s="4">
        <v>4765.3244263521119</v>
      </c>
      <c r="D232" s="4">
        <v>-1333.792615462793</v>
      </c>
      <c r="E232" s="4">
        <v>2885.336101641823</v>
      </c>
    </row>
    <row r="233" spans="1:5" x14ac:dyDescent="0.35">
      <c r="A233" s="2">
        <v>24</v>
      </c>
      <c r="B233" s="2">
        <v>2</v>
      </c>
      <c r="C233" s="4">
        <v>3101.4967721630828</v>
      </c>
      <c r="D233" s="4">
        <v>-53.249243346518313</v>
      </c>
      <c r="E233" s="4">
        <v>-1561.043823141094</v>
      </c>
    </row>
    <row r="234" spans="1:5" x14ac:dyDescent="0.35">
      <c r="A234" s="2">
        <v>24</v>
      </c>
      <c r="B234" s="2">
        <v>3</v>
      </c>
      <c r="C234" s="4">
        <v>-1706.4710495481399</v>
      </c>
      <c r="D234" s="4">
        <v>-2028.828219153115</v>
      </c>
      <c r="E234" s="4">
        <v>-1031.346012903369</v>
      </c>
    </row>
    <row r="235" spans="1:5" x14ac:dyDescent="0.35">
      <c r="A235" s="2">
        <v>24</v>
      </c>
      <c r="B235" s="2">
        <v>4</v>
      </c>
      <c r="C235" s="4">
        <v>-5067.6486585948278</v>
      </c>
      <c r="D235" s="4">
        <v>-1599.7902627055589</v>
      </c>
      <c r="E235" s="4">
        <v>-372.53259834684962</v>
      </c>
    </row>
    <row r="236" spans="1:5" x14ac:dyDescent="0.35">
      <c r="A236" s="2">
        <v>24</v>
      </c>
      <c r="B236" s="2">
        <v>5</v>
      </c>
      <c r="C236" s="4">
        <v>-4511.5206260499626</v>
      </c>
      <c r="D236" s="4">
        <v>1050.033745225247</v>
      </c>
      <c r="E236" s="4">
        <v>160.02007622530991</v>
      </c>
    </row>
    <row r="237" spans="1:5" x14ac:dyDescent="0.35">
      <c r="A237" s="2">
        <v>24</v>
      </c>
      <c r="B237" s="2">
        <v>6</v>
      </c>
      <c r="C237" s="4">
        <v>-5879.9995995696909</v>
      </c>
      <c r="D237" s="4">
        <v>806.34138720356816</v>
      </c>
      <c r="E237" s="4">
        <v>722.99786914661138</v>
      </c>
    </row>
    <row r="238" spans="1:5" x14ac:dyDescent="0.35">
      <c r="A238" s="2">
        <v>24</v>
      </c>
      <c r="B238" s="2">
        <v>7</v>
      </c>
      <c r="C238" s="4">
        <v>-667.06292304854219</v>
      </c>
      <c r="D238" s="4">
        <v>2289.6385161506869</v>
      </c>
      <c r="E238" s="4">
        <v>515.02615106008125</v>
      </c>
    </row>
    <row r="239" spans="1:5" x14ac:dyDescent="0.35">
      <c r="A239" s="2">
        <v>24</v>
      </c>
      <c r="B239" s="2">
        <v>8</v>
      </c>
      <c r="C239" s="4">
        <v>1390.6303991216121</v>
      </c>
      <c r="D239" s="4">
        <v>965.6674484854135</v>
      </c>
      <c r="E239" s="4">
        <v>20.04274540563901</v>
      </c>
    </row>
    <row r="240" spans="1:5" x14ac:dyDescent="0.35">
      <c r="A240" s="2">
        <v>24</v>
      </c>
      <c r="B240" s="2">
        <v>9</v>
      </c>
      <c r="C240" s="4">
        <v>2263.1049678960972</v>
      </c>
      <c r="D240" s="4">
        <v>-1289.4100892274009</v>
      </c>
      <c r="E240" s="4">
        <v>-291.88099703292511</v>
      </c>
    </row>
    <row r="241" spans="1:5" x14ac:dyDescent="0.35">
      <c r="A241" s="2">
        <v>24</v>
      </c>
      <c r="B241" s="2">
        <v>10</v>
      </c>
      <c r="C241" s="4">
        <v>6312.1462912793804</v>
      </c>
      <c r="D241" s="4">
        <v>1193.389332831033</v>
      </c>
      <c r="E241" s="4">
        <v>-1046.6195120552529</v>
      </c>
    </row>
    <row r="242" spans="1:5" x14ac:dyDescent="0.35">
      <c r="A242" s="2">
        <v>25</v>
      </c>
      <c r="B242" s="2">
        <v>1</v>
      </c>
      <c r="C242" s="4">
        <v>2281.7968662618259</v>
      </c>
      <c r="D242" s="4">
        <v>-2470.1292132681938</v>
      </c>
      <c r="E242" s="4">
        <v>-1761.6701067345659</v>
      </c>
    </row>
    <row r="243" spans="1:5" x14ac:dyDescent="0.35">
      <c r="A243" s="2">
        <v>25</v>
      </c>
      <c r="B243" s="2">
        <v>2</v>
      </c>
      <c r="C243" s="4">
        <v>-7330.4054743160714</v>
      </c>
      <c r="D243" s="4">
        <v>-1508.111979747561</v>
      </c>
      <c r="E243" s="4">
        <v>-525.68584648798515</v>
      </c>
    </row>
    <row r="244" spans="1:5" x14ac:dyDescent="0.35">
      <c r="A244" s="2">
        <v>25</v>
      </c>
      <c r="B244" s="2">
        <v>3</v>
      </c>
      <c r="C244" s="4">
        <v>-707.1471839830798</v>
      </c>
      <c r="D244" s="4">
        <v>-423.64814160767622</v>
      </c>
      <c r="E244" s="4">
        <v>2343.900042721652</v>
      </c>
    </row>
    <row r="245" spans="1:5" x14ac:dyDescent="0.35">
      <c r="A245" s="2">
        <v>25</v>
      </c>
      <c r="B245" s="2">
        <v>4</v>
      </c>
      <c r="C245" s="4">
        <v>107.4687378964405</v>
      </c>
      <c r="D245" s="4">
        <v>774.85532005060622</v>
      </c>
      <c r="E245" s="4">
        <v>182.80949471393109</v>
      </c>
    </row>
    <row r="246" spans="1:5" x14ac:dyDescent="0.35">
      <c r="A246" s="2">
        <v>25</v>
      </c>
      <c r="B246" s="2">
        <v>5</v>
      </c>
      <c r="C246" s="4">
        <v>-2037.8086562977981</v>
      </c>
      <c r="D246" s="4">
        <v>1652.105257071883</v>
      </c>
      <c r="E246" s="4">
        <v>-1436.7552687257651</v>
      </c>
    </row>
    <row r="247" spans="1:5" x14ac:dyDescent="0.35">
      <c r="A247" s="2">
        <v>25</v>
      </c>
      <c r="B247" s="2">
        <v>6</v>
      </c>
      <c r="C247" s="4">
        <v>-5381.0598828920574</v>
      </c>
      <c r="D247" s="4">
        <v>2849.0005602433098</v>
      </c>
      <c r="E247" s="4">
        <v>-157.4651229972454</v>
      </c>
    </row>
    <row r="248" spans="1:5" x14ac:dyDescent="0.35">
      <c r="A248" s="2">
        <v>25</v>
      </c>
      <c r="B248" s="2">
        <v>7</v>
      </c>
      <c r="C248" s="4">
        <v>7070.8560478120626</v>
      </c>
      <c r="D248" s="4">
        <v>1249.02754805475</v>
      </c>
      <c r="E248" s="4">
        <v>-458.04787326791057</v>
      </c>
    </row>
    <row r="249" spans="1:5" x14ac:dyDescent="0.35">
      <c r="A249" s="2">
        <v>25</v>
      </c>
      <c r="B249" s="2">
        <v>8</v>
      </c>
      <c r="C249" s="4">
        <v>7493.9658518533606</v>
      </c>
      <c r="D249" s="4">
        <v>179.96853871335719</v>
      </c>
      <c r="E249" s="4">
        <v>197.0769347238373</v>
      </c>
    </row>
    <row r="250" spans="1:5" x14ac:dyDescent="0.35">
      <c r="A250" s="2">
        <v>25</v>
      </c>
      <c r="B250" s="2">
        <v>9</v>
      </c>
      <c r="C250" s="4">
        <v>-17.359511185390311</v>
      </c>
      <c r="D250" s="4">
        <v>-474.31349197380899</v>
      </c>
      <c r="E250" s="4">
        <v>1492.053559538831</v>
      </c>
    </row>
    <row r="251" spans="1:5" x14ac:dyDescent="0.35">
      <c r="A251" s="2">
        <v>25</v>
      </c>
      <c r="B251" s="2">
        <v>10</v>
      </c>
      <c r="C251" s="4">
        <v>-1480.3067951504861</v>
      </c>
      <c r="D251" s="4">
        <v>-1828.7543975366141</v>
      </c>
      <c r="E251" s="4">
        <v>123.7841865150164</v>
      </c>
    </row>
    <row r="252" spans="1:5" x14ac:dyDescent="0.35">
      <c r="A252" s="2">
        <v>26</v>
      </c>
      <c r="B252" s="2">
        <v>1</v>
      </c>
      <c r="C252" s="4">
        <v>-5161.8344069904433</v>
      </c>
      <c r="D252" s="4">
        <v>2653.8763518662881</v>
      </c>
      <c r="E252" s="8">
        <v>2132.6749135779592</v>
      </c>
    </row>
    <row r="253" spans="1:5" x14ac:dyDescent="0.35">
      <c r="A253" s="2">
        <v>26</v>
      </c>
      <c r="B253" s="2">
        <v>2</v>
      </c>
      <c r="C253" s="4">
        <v>4981.0016137739867</v>
      </c>
      <c r="D253" s="4">
        <v>1529.0410300412891</v>
      </c>
      <c r="E253" s="8">
        <v>-454.64817187637709</v>
      </c>
    </row>
    <row r="254" spans="1:5" x14ac:dyDescent="0.35">
      <c r="A254" s="2">
        <v>26</v>
      </c>
      <c r="B254" s="2">
        <v>3</v>
      </c>
      <c r="C254" s="4">
        <v>-4525.5040777999411</v>
      </c>
      <c r="D254" s="4">
        <v>777.07854460045678</v>
      </c>
      <c r="E254" s="8">
        <v>-1720.4261727838041</v>
      </c>
    </row>
    <row r="255" spans="1:5" x14ac:dyDescent="0.35">
      <c r="A255" s="2">
        <v>26</v>
      </c>
      <c r="B255" s="2">
        <v>4</v>
      </c>
      <c r="C255" s="4">
        <v>-7158.9064040490284</v>
      </c>
      <c r="D255" s="4">
        <v>-373.22594059127601</v>
      </c>
      <c r="E255" s="8">
        <v>-798.10835824920036</v>
      </c>
    </row>
    <row r="256" spans="1:5" x14ac:dyDescent="0.35">
      <c r="A256" s="2">
        <v>26</v>
      </c>
      <c r="B256" s="2">
        <v>5</v>
      </c>
      <c r="C256" s="4">
        <v>-2136.133820886449</v>
      </c>
      <c r="D256" s="4">
        <v>-1340.703973109217</v>
      </c>
      <c r="E256" s="8">
        <v>655.78090211139954</v>
      </c>
    </row>
    <row r="257" spans="1:5" x14ac:dyDescent="0.35">
      <c r="A257" s="2">
        <v>26</v>
      </c>
      <c r="B257" s="2">
        <v>6</v>
      </c>
      <c r="C257" s="4">
        <v>-246.91804892884471</v>
      </c>
      <c r="D257" s="4">
        <v>-2007.6374011925409</v>
      </c>
      <c r="E257" s="8">
        <v>809.70670668543994</v>
      </c>
    </row>
    <row r="258" spans="1:5" x14ac:dyDescent="0.35">
      <c r="A258" s="2">
        <v>26</v>
      </c>
      <c r="B258" s="2">
        <v>7</v>
      </c>
      <c r="C258" s="4">
        <v>1242.7509112818741</v>
      </c>
      <c r="D258" s="4">
        <v>-1927.187123962377</v>
      </c>
      <c r="E258" s="8">
        <v>779.98489248514431</v>
      </c>
    </row>
    <row r="259" spans="1:5" x14ac:dyDescent="0.35">
      <c r="A259" s="2">
        <v>26</v>
      </c>
      <c r="B259" s="2">
        <v>8</v>
      </c>
      <c r="C259" s="4">
        <v>4213.666048853559</v>
      </c>
      <c r="D259" s="4">
        <v>-1200.077203029774</v>
      </c>
      <c r="E259" s="8">
        <v>-473.55880071189569</v>
      </c>
    </row>
    <row r="260" spans="1:5" x14ac:dyDescent="0.35">
      <c r="A260" s="2">
        <v>26</v>
      </c>
      <c r="B260" s="2">
        <v>9</v>
      </c>
      <c r="C260" s="4">
        <v>-337.836620755414</v>
      </c>
      <c r="D260" s="4">
        <v>657.50277263430132</v>
      </c>
      <c r="E260" s="8">
        <v>-1151.730563066174</v>
      </c>
    </row>
    <row r="261" spans="1:5" x14ac:dyDescent="0.35">
      <c r="A261" s="2">
        <v>26</v>
      </c>
      <c r="B261" s="2">
        <v>10</v>
      </c>
      <c r="C261" s="4">
        <v>9129.7148055004691</v>
      </c>
      <c r="D261" s="4">
        <v>1231.332942742617</v>
      </c>
      <c r="E261" s="8">
        <v>220.3246518271489</v>
      </c>
    </row>
    <row r="262" spans="1:5" x14ac:dyDescent="0.35">
      <c r="A262" s="2">
        <v>27</v>
      </c>
      <c r="B262" s="2">
        <v>1</v>
      </c>
      <c r="C262" s="4">
        <v>-4637.8991918498459</v>
      </c>
      <c r="D262" s="4">
        <v>1791.2532785830981</v>
      </c>
      <c r="E262" s="4">
        <v>2205.2223603390039</v>
      </c>
    </row>
    <row r="263" spans="1:5" x14ac:dyDescent="0.35">
      <c r="A263" s="2">
        <v>27</v>
      </c>
      <c r="B263" s="2">
        <v>2</v>
      </c>
      <c r="C263" s="4">
        <v>-6593.4398766667791</v>
      </c>
      <c r="D263" s="4">
        <v>1445.0942364602961</v>
      </c>
      <c r="E263" s="4">
        <v>-1502.183314024674</v>
      </c>
    </row>
    <row r="264" spans="1:5" x14ac:dyDescent="0.35">
      <c r="A264" s="2">
        <v>27</v>
      </c>
      <c r="B264" s="2">
        <v>3</v>
      </c>
      <c r="C264" s="4">
        <v>579.99592839180002</v>
      </c>
      <c r="D264" s="4">
        <v>832.48866202880095</v>
      </c>
      <c r="E264" s="4">
        <v>-440.12609657391778</v>
      </c>
    </row>
    <row r="265" spans="1:5" x14ac:dyDescent="0.35">
      <c r="A265" s="2">
        <v>27</v>
      </c>
      <c r="B265" s="2">
        <v>4</v>
      </c>
      <c r="C265" s="4">
        <v>4843.4528811619621</v>
      </c>
      <c r="D265" s="4">
        <v>-562.39607798937811</v>
      </c>
      <c r="E265" s="4">
        <v>691.56317271156195</v>
      </c>
    </row>
    <row r="266" spans="1:5" x14ac:dyDescent="0.35">
      <c r="A266" s="2">
        <v>27</v>
      </c>
      <c r="B266" s="2">
        <v>5</v>
      </c>
      <c r="C266" s="4">
        <v>-4266.2154536278094</v>
      </c>
      <c r="D266" s="4">
        <v>-1310.9393202767069</v>
      </c>
      <c r="E266" s="4">
        <v>-369.29316061924982</v>
      </c>
    </row>
    <row r="267" spans="1:5" x14ac:dyDescent="0.35">
      <c r="A267" s="2">
        <v>27</v>
      </c>
      <c r="B267" s="2">
        <v>6</v>
      </c>
      <c r="C267" s="4">
        <v>16.74285647327547</v>
      </c>
      <c r="D267" s="4">
        <v>-1730.943779991346</v>
      </c>
      <c r="E267" s="4">
        <v>381.08703849254761</v>
      </c>
    </row>
    <row r="268" spans="1:5" x14ac:dyDescent="0.35">
      <c r="A268" s="2">
        <v>27</v>
      </c>
      <c r="B268" s="2">
        <v>7</v>
      </c>
      <c r="C268" s="4">
        <v>-2339.776388149382</v>
      </c>
      <c r="D268" s="4">
        <v>-1657.015785807286</v>
      </c>
      <c r="E268" s="4">
        <v>-137.15588567119809</v>
      </c>
    </row>
    <row r="269" spans="1:5" x14ac:dyDescent="0.35">
      <c r="A269" s="2">
        <v>27</v>
      </c>
      <c r="B269" s="2">
        <v>8</v>
      </c>
      <c r="C269" s="4">
        <v>1762.9990228195541</v>
      </c>
      <c r="D269" s="4">
        <v>-814.84182445237434</v>
      </c>
      <c r="E269" s="4">
        <v>166.7962788783737</v>
      </c>
    </row>
    <row r="270" spans="1:5" x14ac:dyDescent="0.35">
      <c r="A270" s="2">
        <v>27</v>
      </c>
      <c r="B270" s="2">
        <v>9</v>
      </c>
      <c r="C270" s="4">
        <v>3358.863644146541</v>
      </c>
      <c r="D270" s="4">
        <v>646.26072679938659</v>
      </c>
      <c r="E270" s="4">
        <v>-581.512849883782</v>
      </c>
    </row>
    <row r="271" spans="1:5" x14ac:dyDescent="0.35">
      <c r="A271" s="2">
        <v>27</v>
      </c>
      <c r="B271" s="2">
        <v>10</v>
      </c>
      <c r="C271" s="4">
        <v>7275.2765772996163</v>
      </c>
      <c r="D271" s="4">
        <v>1361.0398846455651</v>
      </c>
      <c r="E271" s="4">
        <v>-414.39754364857362</v>
      </c>
    </row>
    <row r="272" spans="1:5" x14ac:dyDescent="0.35">
      <c r="A272" s="2">
        <v>28</v>
      </c>
      <c r="B272" s="2">
        <v>1</v>
      </c>
      <c r="C272" s="4">
        <v>531.67791882659947</v>
      </c>
      <c r="D272" s="4">
        <v>2004.213691306443</v>
      </c>
      <c r="E272" s="4">
        <v>2173.659797142624</v>
      </c>
    </row>
    <row r="273" spans="1:5" x14ac:dyDescent="0.35">
      <c r="A273" s="2">
        <v>28</v>
      </c>
      <c r="B273" s="2">
        <v>2</v>
      </c>
      <c r="C273" s="4">
        <v>-1726.4425876070211</v>
      </c>
      <c r="D273" s="4">
        <v>1595.257728081735</v>
      </c>
      <c r="E273" s="4">
        <v>-358.74465017863281</v>
      </c>
    </row>
    <row r="274" spans="1:5" x14ac:dyDescent="0.35">
      <c r="A274" s="2">
        <v>28</v>
      </c>
      <c r="B274" s="2">
        <v>3</v>
      </c>
      <c r="C274" s="4">
        <v>3302.51785304855</v>
      </c>
      <c r="D274" s="4">
        <v>711.00173355697996</v>
      </c>
      <c r="E274" s="4">
        <v>-1044.495173748491</v>
      </c>
    </row>
    <row r="275" spans="1:5" x14ac:dyDescent="0.35">
      <c r="A275" s="2">
        <v>28</v>
      </c>
      <c r="B275" s="2">
        <v>4</v>
      </c>
      <c r="C275" s="4">
        <v>-4656.2852371878953</v>
      </c>
      <c r="D275" s="4">
        <v>-375.02964326378498</v>
      </c>
      <c r="E275" s="4">
        <v>-1545.6397213134831</v>
      </c>
    </row>
    <row r="276" spans="1:5" x14ac:dyDescent="0.35">
      <c r="A276" s="2">
        <v>28</v>
      </c>
      <c r="B276" s="2">
        <v>5</v>
      </c>
      <c r="C276" s="4">
        <v>-3450.7312661122442</v>
      </c>
      <c r="D276" s="4">
        <v>-1323.0040202887999</v>
      </c>
      <c r="E276" s="4">
        <v>403.9680520705262</v>
      </c>
    </row>
    <row r="277" spans="1:5" x14ac:dyDescent="0.35">
      <c r="A277" s="2">
        <v>28</v>
      </c>
      <c r="B277" s="2">
        <v>6</v>
      </c>
      <c r="C277" s="4">
        <v>-3878.454317497597</v>
      </c>
      <c r="D277" s="4">
        <v>-1946.179080957015</v>
      </c>
      <c r="E277" s="4">
        <v>1162.5089182625709</v>
      </c>
    </row>
    <row r="278" spans="1:5" x14ac:dyDescent="0.35">
      <c r="A278" s="2">
        <v>28</v>
      </c>
      <c r="B278" s="2">
        <v>7</v>
      </c>
      <c r="C278" s="4">
        <v>7094.4334033941996</v>
      </c>
      <c r="D278" s="4">
        <v>-1590.3379280758311</v>
      </c>
      <c r="E278" s="4">
        <v>246.19274355686289</v>
      </c>
    </row>
    <row r="279" spans="1:5" x14ac:dyDescent="0.35">
      <c r="A279" s="2">
        <v>28</v>
      </c>
      <c r="B279" s="2">
        <v>8</v>
      </c>
      <c r="C279" s="4">
        <v>4520.9681971324799</v>
      </c>
      <c r="D279" s="4">
        <v>-616.89793022685285</v>
      </c>
      <c r="E279" s="4">
        <v>-380.32078360579197</v>
      </c>
    </row>
    <row r="280" spans="1:5" x14ac:dyDescent="0.35">
      <c r="A280" s="2">
        <v>28</v>
      </c>
      <c r="B280" s="2">
        <v>9</v>
      </c>
      <c r="C280" s="4">
        <v>-1645.178378876343</v>
      </c>
      <c r="D280" s="4">
        <v>196.59191173510999</v>
      </c>
      <c r="E280" s="4">
        <v>-188.2177168925262</v>
      </c>
    </row>
    <row r="281" spans="1:5" x14ac:dyDescent="0.35">
      <c r="A281" s="2">
        <v>28</v>
      </c>
      <c r="B281" s="2">
        <v>10</v>
      </c>
      <c r="C281" s="4">
        <v>-92.505585121454288</v>
      </c>
      <c r="D281" s="4">
        <v>1344.3835381319291</v>
      </c>
      <c r="E281" s="4">
        <v>-468.91146529382769</v>
      </c>
    </row>
    <row r="282" spans="1:5" x14ac:dyDescent="0.35">
      <c r="A282" s="2">
        <v>29</v>
      </c>
      <c r="B282" s="2">
        <v>1</v>
      </c>
      <c r="C282" s="4">
        <v>-4809.6996360147377</v>
      </c>
      <c r="D282" s="4">
        <v>-1043.983643776362</v>
      </c>
      <c r="E282" s="4">
        <v>1866.270847100996</v>
      </c>
    </row>
    <row r="283" spans="1:5" x14ac:dyDescent="0.35">
      <c r="A283" s="2">
        <v>29</v>
      </c>
      <c r="B283" s="2">
        <v>2</v>
      </c>
      <c r="C283" s="4">
        <v>-1663.444192613636</v>
      </c>
      <c r="D283" s="4">
        <v>-1734.8402806852459</v>
      </c>
      <c r="E283" s="4">
        <v>-864.49595251415974</v>
      </c>
    </row>
    <row r="284" spans="1:5" x14ac:dyDescent="0.35">
      <c r="A284" s="2">
        <v>29</v>
      </c>
      <c r="B284" s="2">
        <v>3</v>
      </c>
      <c r="C284" s="4">
        <v>-2855.372535216296</v>
      </c>
      <c r="D284" s="4">
        <v>-438.9037402388048</v>
      </c>
      <c r="E284" s="4">
        <v>-496.09399768848328</v>
      </c>
    </row>
    <row r="285" spans="1:5" x14ac:dyDescent="0.35">
      <c r="A285" s="2">
        <v>29</v>
      </c>
      <c r="B285" s="2">
        <v>4</v>
      </c>
      <c r="C285" s="4">
        <v>1665.1160729166329</v>
      </c>
      <c r="D285" s="4">
        <v>287.75749087929699</v>
      </c>
      <c r="E285" s="4">
        <v>-629.33493061298657</v>
      </c>
    </row>
    <row r="286" spans="1:5" x14ac:dyDescent="0.35">
      <c r="A286" s="2">
        <v>29</v>
      </c>
      <c r="B286" s="2">
        <v>5</v>
      </c>
      <c r="C286" s="4">
        <v>1904.6826834871019</v>
      </c>
      <c r="D286" s="4">
        <v>1346.023130397813</v>
      </c>
      <c r="E286" s="4">
        <v>157.15362974836191</v>
      </c>
    </row>
    <row r="287" spans="1:5" x14ac:dyDescent="0.35">
      <c r="A287" s="2">
        <v>29</v>
      </c>
      <c r="B287" s="2">
        <v>6</v>
      </c>
      <c r="C287" s="4">
        <v>-703.28442323069476</v>
      </c>
      <c r="D287" s="4">
        <v>1212.3246048996359</v>
      </c>
      <c r="E287" s="4">
        <v>-1095.617501171412</v>
      </c>
    </row>
    <row r="288" spans="1:5" x14ac:dyDescent="0.35">
      <c r="A288" s="2">
        <v>29</v>
      </c>
      <c r="B288" s="2">
        <v>7</v>
      </c>
      <c r="C288" s="4">
        <v>-5410.3571244484501</v>
      </c>
      <c r="D288" s="4">
        <v>1978.7714034180251</v>
      </c>
      <c r="E288" s="4">
        <v>-393.82108476549712</v>
      </c>
    </row>
    <row r="289" spans="1:5" x14ac:dyDescent="0.35">
      <c r="A289" s="2">
        <v>29</v>
      </c>
      <c r="B289" s="2">
        <v>8</v>
      </c>
      <c r="C289" s="4">
        <v>6065.0380238331236</v>
      </c>
      <c r="D289" s="4">
        <v>1054.607526416248</v>
      </c>
      <c r="E289" s="4">
        <v>1847.8031272957001</v>
      </c>
    </row>
    <row r="290" spans="1:5" x14ac:dyDescent="0.35">
      <c r="A290" s="2">
        <v>29</v>
      </c>
      <c r="B290" s="2">
        <v>9</v>
      </c>
      <c r="C290" s="4">
        <v>6499.2900528719829</v>
      </c>
      <c r="D290" s="4">
        <v>-1235.2227302370129</v>
      </c>
      <c r="E290" s="4">
        <v>-1044.2095487859719</v>
      </c>
    </row>
    <row r="291" spans="1:5" x14ac:dyDescent="0.35">
      <c r="A291" s="2">
        <v>29</v>
      </c>
      <c r="B291" s="2">
        <v>10</v>
      </c>
      <c r="C291" s="4">
        <v>-691.96892158530659</v>
      </c>
      <c r="D291" s="4">
        <v>-1426.5337610736619</v>
      </c>
      <c r="E291" s="4">
        <v>652.34541139356486</v>
      </c>
    </row>
    <row r="292" spans="1:5" x14ac:dyDescent="0.35">
      <c r="A292" s="2">
        <v>30</v>
      </c>
      <c r="B292" s="2">
        <v>1</v>
      </c>
      <c r="C292" s="4">
        <v>-2914.8007525398339</v>
      </c>
      <c r="D292" s="4">
        <v>1940.9699041700051</v>
      </c>
      <c r="E292" s="4">
        <v>-1939.6667097269551</v>
      </c>
    </row>
    <row r="293" spans="1:5" x14ac:dyDescent="0.35">
      <c r="A293" s="2">
        <v>30</v>
      </c>
      <c r="B293" s="2">
        <v>2</v>
      </c>
      <c r="C293" s="4">
        <v>6066.9979227455333</v>
      </c>
      <c r="D293" s="4">
        <v>2184.0507875631479</v>
      </c>
      <c r="E293" s="4">
        <v>1109.3918379469781</v>
      </c>
    </row>
    <row r="294" spans="1:5" x14ac:dyDescent="0.35">
      <c r="A294" s="2">
        <v>30</v>
      </c>
      <c r="B294" s="2">
        <v>3</v>
      </c>
      <c r="C294" s="4">
        <v>400.00525730651509</v>
      </c>
      <c r="D294" s="4">
        <v>817.9168994786844</v>
      </c>
      <c r="E294" s="4">
        <v>-1075.5261718317261</v>
      </c>
    </row>
    <row r="295" spans="1:5" x14ac:dyDescent="0.35">
      <c r="A295" s="2">
        <v>30</v>
      </c>
      <c r="B295" s="2">
        <v>4</v>
      </c>
      <c r="C295" s="4">
        <v>-2879.3556523889401</v>
      </c>
      <c r="D295" s="4">
        <v>-795.24301098547812</v>
      </c>
      <c r="E295" s="4">
        <v>306.49517614851732</v>
      </c>
    </row>
    <row r="296" spans="1:5" x14ac:dyDescent="0.35">
      <c r="A296" s="2">
        <v>30</v>
      </c>
      <c r="B296" s="2">
        <v>5</v>
      </c>
      <c r="C296" s="4">
        <v>-3507.863056760415</v>
      </c>
      <c r="D296" s="4">
        <v>-1571.09792642302</v>
      </c>
      <c r="E296" s="4">
        <v>-527.14646707230281</v>
      </c>
    </row>
    <row r="297" spans="1:5" x14ac:dyDescent="0.35">
      <c r="A297" s="2">
        <v>30</v>
      </c>
      <c r="B297" s="2">
        <v>6</v>
      </c>
      <c r="C297" s="4">
        <v>3815.134549582157</v>
      </c>
      <c r="D297" s="4">
        <v>-1473.907214149322</v>
      </c>
      <c r="E297" s="4">
        <v>256.10998982552348</v>
      </c>
    </row>
    <row r="298" spans="1:5" x14ac:dyDescent="0.35">
      <c r="A298" s="2">
        <v>30</v>
      </c>
      <c r="B298" s="2">
        <v>7</v>
      </c>
      <c r="C298" s="4">
        <v>4242.2836969177661</v>
      </c>
      <c r="D298" s="4">
        <v>-1108.836175916729</v>
      </c>
      <c r="E298" s="4">
        <v>-353.48549187048621</v>
      </c>
    </row>
    <row r="299" spans="1:5" x14ac:dyDescent="0.35">
      <c r="A299" s="2">
        <v>30</v>
      </c>
      <c r="B299" s="2">
        <v>8</v>
      </c>
      <c r="C299" s="4">
        <v>3791.7346396962171</v>
      </c>
      <c r="D299" s="4">
        <v>-615.21804354630888</v>
      </c>
      <c r="E299" s="4">
        <v>-227.20357518513089</v>
      </c>
    </row>
    <row r="300" spans="1:5" x14ac:dyDescent="0.35">
      <c r="A300" s="2">
        <v>30</v>
      </c>
      <c r="B300" s="2">
        <v>9</v>
      </c>
      <c r="C300" s="4">
        <v>-4209.467976806568</v>
      </c>
      <c r="D300" s="4">
        <v>-127.51758454600341</v>
      </c>
      <c r="E300" s="4">
        <v>402.43273650382548</v>
      </c>
    </row>
    <row r="301" spans="1:5" x14ac:dyDescent="0.35">
      <c r="A301" s="2">
        <v>30</v>
      </c>
      <c r="B301" s="2">
        <v>10</v>
      </c>
      <c r="C301" s="4">
        <v>-4804.6686277529016</v>
      </c>
      <c r="D301" s="4">
        <v>748.88236435494866</v>
      </c>
      <c r="E301" s="4">
        <v>2048.5986752615731</v>
      </c>
    </row>
    <row r="302" spans="1:5" x14ac:dyDescent="0.35">
      <c r="A302" s="2">
        <v>31</v>
      </c>
      <c r="B302" s="2">
        <v>1</v>
      </c>
      <c r="C302" s="4">
        <v>-3245.9994028150991</v>
      </c>
      <c r="D302" s="4">
        <v>1771.4114669164439</v>
      </c>
      <c r="E302" s="4">
        <v>-2123.5750194722032</v>
      </c>
    </row>
    <row r="303" spans="1:5" x14ac:dyDescent="0.35">
      <c r="A303" s="2">
        <v>31</v>
      </c>
      <c r="B303" s="2">
        <v>2</v>
      </c>
      <c r="C303" s="4">
        <v>-384.66648351421992</v>
      </c>
      <c r="D303" s="4">
        <v>1256.0975939100269</v>
      </c>
      <c r="E303" s="4">
        <v>716.14551254590549</v>
      </c>
    </row>
    <row r="304" spans="1:5" x14ac:dyDescent="0.35">
      <c r="A304" s="2">
        <v>31</v>
      </c>
      <c r="B304" s="2">
        <v>3</v>
      </c>
      <c r="C304" s="4">
        <v>439.62162677120511</v>
      </c>
      <c r="D304" s="4">
        <v>697.94260948515489</v>
      </c>
      <c r="E304" s="4">
        <v>-306.36242910178129</v>
      </c>
    </row>
    <row r="305" spans="1:5" x14ac:dyDescent="0.35">
      <c r="A305" s="2">
        <v>31</v>
      </c>
      <c r="B305" s="2">
        <v>4</v>
      </c>
      <c r="C305" s="4">
        <v>-1450.6719352036371</v>
      </c>
      <c r="D305" s="4">
        <v>-478.50351698997292</v>
      </c>
      <c r="E305" s="4">
        <v>-367.92505829850262</v>
      </c>
    </row>
    <row r="306" spans="1:5" x14ac:dyDescent="0.35">
      <c r="A306" s="2">
        <v>31</v>
      </c>
      <c r="B306" s="2">
        <v>5</v>
      </c>
      <c r="C306" s="4">
        <v>4439.532792057179</v>
      </c>
      <c r="D306" s="4">
        <v>-852.93251548986325</v>
      </c>
      <c r="E306" s="4">
        <v>-456.85249862913793</v>
      </c>
    </row>
    <row r="307" spans="1:5" x14ac:dyDescent="0.35">
      <c r="A307" s="2">
        <v>31</v>
      </c>
      <c r="B307" s="2">
        <v>6</v>
      </c>
      <c r="C307" s="4">
        <v>-5209.3541383165739</v>
      </c>
      <c r="D307" s="4">
        <v>-1678.01915254402</v>
      </c>
      <c r="E307" s="4">
        <v>469.91529456534568</v>
      </c>
    </row>
    <row r="308" spans="1:5" x14ac:dyDescent="0.35">
      <c r="A308" s="2">
        <v>31</v>
      </c>
      <c r="B308" s="2">
        <v>7</v>
      </c>
      <c r="C308" s="4">
        <v>-1311.8215183764109</v>
      </c>
      <c r="D308" s="4">
        <v>-1701.5362739183529</v>
      </c>
      <c r="E308" s="4">
        <v>-136.10896865748211</v>
      </c>
    </row>
    <row r="309" spans="1:5" x14ac:dyDescent="0.35">
      <c r="A309" s="2">
        <v>31</v>
      </c>
      <c r="B309" s="2">
        <v>8</v>
      </c>
      <c r="C309" s="4">
        <v>2442.3033465645899</v>
      </c>
      <c r="D309" s="4">
        <v>-877.79578794082659</v>
      </c>
      <c r="E309" s="4">
        <v>107.39859065787159</v>
      </c>
    </row>
    <row r="310" spans="1:5" x14ac:dyDescent="0.35">
      <c r="A310" s="2">
        <v>31</v>
      </c>
      <c r="B310" s="2">
        <v>9</v>
      </c>
      <c r="C310" s="4">
        <v>5568.9369499288732</v>
      </c>
      <c r="D310" s="4">
        <v>377.56716368460712</v>
      </c>
      <c r="E310" s="4">
        <v>-40.868572141625172</v>
      </c>
    </row>
    <row r="311" spans="1:5" x14ac:dyDescent="0.35">
      <c r="A311" s="2">
        <v>31</v>
      </c>
      <c r="B311" s="2">
        <v>10</v>
      </c>
      <c r="C311" s="4">
        <v>-1287.881237096705</v>
      </c>
      <c r="D311" s="4">
        <v>1485.7684128863921</v>
      </c>
      <c r="E311" s="4">
        <v>2138.233148531458</v>
      </c>
    </row>
    <row r="312" spans="1:5" x14ac:dyDescent="0.35">
      <c r="A312" s="2">
        <v>32</v>
      </c>
      <c r="B312" s="2">
        <v>1</v>
      </c>
      <c r="C312" s="4">
        <v>14244.42535791509</v>
      </c>
      <c r="D312" s="4">
        <v>-1691.7870788680959</v>
      </c>
      <c r="E312" s="4">
        <v>-3764.084897974154</v>
      </c>
    </row>
    <row r="313" spans="1:5" x14ac:dyDescent="0.35">
      <c r="A313" s="2">
        <v>32</v>
      </c>
      <c r="B313" s="2">
        <v>2</v>
      </c>
      <c r="C313" s="4">
        <v>5529.815038607604</v>
      </c>
      <c r="D313" s="4">
        <v>4397.590777174818</v>
      </c>
      <c r="E313" s="4">
        <v>4840.3734102590388</v>
      </c>
    </row>
    <row r="314" spans="1:5" x14ac:dyDescent="0.35">
      <c r="A314" s="2">
        <v>32</v>
      </c>
      <c r="B314" s="2">
        <v>3</v>
      </c>
      <c r="C314" s="4">
        <v>-428.72954237818209</v>
      </c>
      <c r="D314" s="4">
        <v>-3406.7077004049879</v>
      </c>
      <c r="E314" s="4">
        <v>1698.025594213193</v>
      </c>
    </row>
    <row r="315" spans="1:5" x14ac:dyDescent="0.35">
      <c r="A315" s="2">
        <v>32</v>
      </c>
      <c r="B315" s="2">
        <v>4</v>
      </c>
      <c r="C315" s="4">
        <v>-6238.5901097312762</v>
      </c>
      <c r="D315" s="4">
        <v>2722.5196986963169</v>
      </c>
      <c r="E315" s="4">
        <v>-2963.2245898308051</v>
      </c>
    </row>
    <row r="316" spans="1:5" x14ac:dyDescent="0.35">
      <c r="A316" s="2">
        <v>32</v>
      </c>
      <c r="B316" s="2">
        <v>5</v>
      </c>
      <c r="C316" s="4">
        <v>-2453.8359797789308</v>
      </c>
      <c r="D316" s="4">
        <v>-2910.933307090897</v>
      </c>
      <c r="E316" s="4">
        <v>488.17407422476941</v>
      </c>
    </row>
    <row r="317" spans="1:5" x14ac:dyDescent="0.35">
      <c r="A317" s="2">
        <v>32</v>
      </c>
      <c r="B317" s="2">
        <v>6</v>
      </c>
      <c r="C317" s="4">
        <v>-2471.3046937994791</v>
      </c>
      <c r="D317" s="4">
        <v>-3078.9102278662558</v>
      </c>
      <c r="E317" s="4">
        <v>449.93411385151057</v>
      </c>
    </row>
    <row r="318" spans="1:5" x14ac:dyDescent="0.35">
      <c r="A318" s="2">
        <v>32</v>
      </c>
      <c r="B318" s="2">
        <v>7</v>
      </c>
      <c r="C318" s="4">
        <v>-2117.1253536644758</v>
      </c>
      <c r="D318" s="4">
        <v>-3562.8607308807268</v>
      </c>
      <c r="E318" s="4">
        <v>996.22545018002154</v>
      </c>
    </row>
    <row r="319" spans="1:5" x14ac:dyDescent="0.35">
      <c r="A319" s="2">
        <v>32</v>
      </c>
      <c r="B319" s="2">
        <v>8</v>
      </c>
      <c r="C319" s="4">
        <v>-2704.2506694342819</v>
      </c>
      <c r="D319" s="4">
        <v>-2382.7544953331089</v>
      </c>
      <c r="E319" s="4">
        <v>269.29636156724342</v>
      </c>
    </row>
    <row r="320" spans="1:5" x14ac:dyDescent="0.35">
      <c r="A320" s="2">
        <v>32</v>
      </c>
      <c r="B320" s="2">
        <v>9</v>
      </c>
      <c r="C320" s="4">
        <v>-4024.9075112735732</v>
      </c>
      <c r="D320" s="4">
        <v>4269.5021146470544</v>
      </c>
      <c r="E320" s="4">
        <v>-3322.0584441552869</v>
      </c>
    </row>
    <row r="321" spans="1:5" x14ac:dyDescent="0.35">
      <c r="A321" s="2">
        <v>32</v>
      </c>
      <c r="B321" s="2">
        <v>10</v>
      </c>
      <c r="C321" s="4">
        <v>664.50346353688951</v>
      </c>
      <c r="D321" s="4">
        <v>5644.3409499267536</v>
      </c>
      <c r="E321" s="4">
        <v>1307.338927664503</v>
      </c>
    </row>
    <row r="322" spans="1:5" x14ac:dyDescent="0.35">
      <c r="A322" s="2">
        <v>33</v>
      </c>
      <c r="B322" s="2">
        <v>1</v>
      </c>
      <c r="C322" s="4">
        <v>-2938.2935471064552</v>
      </c>
      <c r="D322" s="4">
        <v>1615.550765407278</v>
      </c>
      <c r="E322" s="4">
        <v>-1107.9518059394959</v>
      </c>
    </row>
    <row r="323" spans="1:5" x14ac:dyDescent="0.35">
      <c r="A323" s="2">
        <v>33</v>
      </c>
      <c r="B323" s="2">
        <v>2</v>
      </c>
      <c r="C323" s="4">
        <v>4500.9728500499787</v>
      </c>
      <c r="D323" s="4">
        <v>669.23519903520105</v>
      </c>
      <c r="E323" s="4">
        <v>-2063.1933337306382</v>
      </c>
    </row>
    <row r="324" spans="1:5" x14ac:dyDescent="0.35">
      <c r="A324" s="2">
        <v>33</v>
      </c>
      <c r="B324" s="2">
        <v>3</v>
      </c>
      <c r="C324" s="4">
        <v>6630.1013504762022</v>
      </c>
      <c r="D324" s="4">
        <v>-142.95915847460259</v>
      </c>
      <c r="E324" s="4">
        <v>821.81464443718039</v>
      </c>
    </row>
    <row r="325" spans="1:5" x14ac:dyDescent="0.35">
      <c r="A325" s="2">
        <v>33</v>
      </c>
      <c r="B325" s="2">
        <v>4</v>
      </c>
      <c r="C325" s="4">
        <v>-620.09921948489978</v>
      </c>
      <c r="D325" s="4">
        <v>-631.5866091900632</v>
      </c>
      <c r="E325" s="4">
        <v>-292.56704366971991</v>
      </c>
    </row>
    <row r="326" spans="1:5" x14ac:dyDescent="0.35">
      <c r="A326" s="2">
        <v>33</v>
      </c>
      <c r="B326" s="2">
        <v>5</v>
      </c>
      <c r="C326" s="4">
        <v>916.19460818705011</v>
      </c>
      <c r="D326" s="4">
        <v>-1049.1700924648919</v>
      </c>
      <c r="E326" s="4">
        <v>578.98201211290484</v>
      </c>
    </row>
    <row r="327" spans="1:5" x14ac:dyDescent="0.35">
      <c r="A327" s="2">
        <v>33</v>
      </c>
      <c r="B327" s="2">
        <v>6</v>
      </c>
      <c r="C327" s="4">
        <v>2651.118204352576</v>
      </c>
      <c r="D327" s="4">
        <v>-1483.1640875368939</v>
      </c>
      <c r="E327" s="4">
        <v>363.13847367752601</v>
      </c>
    </row>
    <row r="328" spans="1:5" x14ac:dyDescent="0.35">
      <c r="A328" s="2">
        <v>33</v>
      </c>
      <c r="B328" s="2">
        <v>7</v>
      </c>
      <c r="C328" s="4">
        <v>-6418.5200353213158</v>
      </c>
      <c r="D328" s="4">
        <v>-968.11854186127005</v>
      </c>
      <c r="E328" s="4">
        <v>803.15184027578562</v>
      </c>
    </row>
    <row r="329" spans="1:5" x14ac:dyDescent="0.35">
      <c r="A329" s="2">
        <v>33</v>
      </c>
      <c r="B329" s="2">
        <v>8</v>
      </c>
      <c r="C329" s="4">
        <v>-2028.1413545022669</v>
      </c>
      <c r="D329" s="4">
        <v>-749.04375525388662</v>
      </c>
      <c r="E329" s="4">
        <v>-338.97180114856508</v>
      </c>
    </row>
    <row r="330" spans="1:5" x14ac:dyDescent="0.35">
      <c r="A330" s="2">
        <v>33</v>
      </c>
      <c r="B330" s="2">
        <v>9</v>
      </c>
      <c r="C330" s="4">
        <v>-2949.1596209436552</v>
      </c>
      <c r="D330" s="4">
        <v>389.89319329357141</v>
      </c>
      <c r="E330" s="4">
        <v>-954.46146685794292</v>
      </c>
    </row>
    <row r="331" spans="1:5" x14ac:dyDescent="0.35">
      <c r="A331" s="2">
        <v>33</v>
      </c>
      <c r="B331" s="2">
        <v>10</v>
      </c>
      <c r="C331" s="4">
        <v>255.82676429341331</v>
      </c>
      <c r="D331" s="4">
        <v>2349.363087045951</v>
      </c>
      <c r="E331" s="4">
        <v>2190.0584808427352</v>
      </c>
    </row>
    <row r="332" spans="1:5" x14ac:dyDescent="0.35">
      <c r="A332" s="2">
        <v>34</v>
      </c>
      <c r="B332" s="2">
        <v>1</v>
      </c>
      <c r="C332" s="4">
        <v>852.96850493773616</v>
      </c>
      <c r="D332" s="4">
        <v>1837.350732237835</v>
      </c>
      <c r="E332" s="4">
        <v>-377.31363425029969</v>
      </c>
    </row>
    <row r="333" spans="1:5" x14ac:dyDescent="0.35">
      <c r="A333" s="2">
        <v>34</v>
      </c>
      <c r="B333" s="2">
        <v>2</v>
      </c>
      <c r="C333" s="4">
        <v>88.222291909395068</v>
      </c>
      <c r="D333" s="4">
        <v>1634.264523563988</v>
      </c>
      <c r="E333" s="4">
        <v>2170.478896148335</v>
      </c>
    </row>
    <row r="334" spans="1:5" x14ac:dyDescent="0.35">
      <c r="A334" s="2">
        <v>34</v>
      </c>
      <c r="B334" s="2">
        <v>3</v>
      </c>
      <c r="C334" s="4">
        <v>1222.0011162901981</v>
      </c>
      <c r="D334" s="4">
        <v>532.15471120904988</v>
      </c>
      <c r="E334" s="4">
        <v>-1199.626427392911</v>
      </c>
    </row>
    <row r="335" spans="1:5" x14ac:dyDescent="0.35">
      <c r="A335" s="2">
        <v>34</v>
      </c>
      <c r="B335" s="2">
        <v>4</v>
      </c>
      <c r="C335" s="4">
        <v>-4728.6025340521073</v>
      </c>
      <c r="D335" s="4">
        <v>-946.02772649648159</v>
      </c>
      <c r="E335" s="4">
        <v>797.38867969922194</v>
      </c>
    </row>
    <row r="336" spans="1:5" x14ac:dyDescent="0.35">
      <c r="A336" s="2">
        <v>34</v>
      </c>
      <c r="B336" s="2">
        <v>5</v>
      </c>
      <c r="C336" s="4">
        <v>2178.4519441037201</v>
      </c>
      <c r="D336" s="4">
        <v>-753.8774307681424</v>
      </c>
      <c r="E336" s="4">
        <v>-431.18783947583421</v>
      </c>
    </row>
    <row r="337" spans="1:5" x14ac:dyDescent="0.35">
      <c r="A337" s="2">
        <v>34</v>
      </c>
      <c r="B337" s="2">
        <v>6</v>
      </c>
      <c r="C337" s="4">
        <v>-1447.605002826773</v>
      </c>
      <c r="D337" s="4">
        <v>-1729.178797170171</v>
      </c>
      <c r="E337" s="4">
        <v>-228.93289690344889</v>
      </c>
    </row>
    <row r="338" spans="1:5" x14ac:dyDescent="0.35">
      <c r="A338" s="2">
        <v>34</v>
      </c>
      <c r="B338" s="2">
        <v>7</v>
      </c>
      <c r="C338" s="4">
        <v>2745.0115087315962</v>
      </c>
      <c r="D338" s="4">
        <v>-1341.321299621927</v>
      </c>
      <c r="E338" s="4">
        <v>1112.1117507345309</v>
      </c>
    </row>
    <row r="339" spans="1:5" x14ac:dyDescent="0.35">
      <c r="A339" s="2">
        <v>34</v>
      </c>
      <c r="B339" s="2">
        <v>8</v>
      </c>
      <c r="C339" s="4">
        <v>6185.6253922891592</v>
      </c>
      <c r="D339" s="4">
        <v>-25.69456501454972</v>
      </c>
      <c r="E339" s="4">
        <v>-469.8878297368521</v>
      </c>
    </row>
    <row r="340" spans="1:5" x14ac:dyDescent="0.35">
      <c r="A340" s="2">
        <v>34</v>
      </c>
      <c r="B340" s="2">
        <v>9</v>
      </c>
      <c r="C340" s="4">
        <v>-1772.8489832260971</v>
      </c>
      <c r="D340" s="4">
        <v>102.15345067101811</v>
      </c>
      <c r="E340" s="4">
        <v>-416.97316033231368</v>
      </c>
    </row>
    <row r="341" spans="1:5" x14ac:dyDescent="0.35">
      <c r="A341" s="2">
        <v>34</v>
      </c>
      <c r="B341" s="2">
        <v>10</v>
      </c>
      <c r="C341" s="4">
        <v>-5323.2242381561946</v>
      </c>
      <c r="D341" s="4">
        <v>690.17640138955983</v>
      </c>
      <c r="E341" s="4">
        <v>-956.05753849052417</v>
      </c>
    </row>
    <row r="342" spans="1:5" x14ac:dyDescent="0.35">
      <c r="A342" s="2">
        <v>35</v>
      </c>
      <c r="B342" s="2">
        <v>1</v>
      </c>
      <c r="C342" s="4">
        <v>-645.75250757670142</v>
      </c>
      <c r="D342" s="4">
        <v>-1545.0985428465749</v>
      </c>
      <c r="E342" s="4">
        <v>-940.61983089455316</v>
      </c>
    </row>
    <row r="343" spans="1:5" x14ac:dyDescent="0.35">
      <c r="A343" s="2">
        <v>35</v>
      </c>
      <c r="B343" s="2">
        <v>2</v>
      </c>
      <c r="C343" s="4">
        <v>-5678.0481989171094</v>
      </c>
      <c r="D343" s="4">
        <v>-346.94100246961659</v>
      </c>
      <c r="E343" s="4">
        <v>-213.111990022545</v>
      </c>
    </row>
    <row r="344" spans="1:5" x14ac:dyDescent="0.35">
      <c r="A344" s="2">
        <v>35</v>
      </c>
      <c r="B344" s="2">
        <v>3</v>
      </c>
      <c r="C344" s="4">
        <v>-4643.6980313975964</v>
      </c>
      <c r="D344" s="4">
        <v>-408.04370641817729</v>
      </c>
      <c r="E344" s="4">
        <v>446.235192673661</v>
      </c>
    </row>
    <row r="345" spans="1:5" x14ac:dyDescent="0.35">
      <c r="A345" s="2">
        <v>35</v>
      </c>
      <c r="B345" s="2">
        <v>4</v>
      </c>
      <c r="C345" s="4">
        <v>-6151.4518467259504</v>
      </c>
      <c r="D345" s="4">
        <v>-25.065025614756809</v>
      </c>
      <c r="E345" s="4">
        <v>1744.598266378805</v>
      </c>
    </row>
    <row r="346" spans="1:5" x14ac:dyDescent="0.35">
      <c r="A346" s="2">
        <v>35</v>
      </c>
      <c r="B346" s="2">
        <v>5</v>
      </c>
      <c r="C346" s="4">
        <v>-4370.1127316256589</v>
      </c>
      <c r="D346" s="4">
        <v>2054.6706897405838</v>
      </c>
      <c r="E346" s="4">
        <v>-622.28769938425114</v>
      </c>
    </row>
    <row r="347" spans="1:5" x14ac:dyDescent="0.35">
      <c r="A347" s="2">
        <v>35</v>
      </c>
      <c r="B347" s="2">
        <v>6</v>
      </c>
      <c r="C347" s="4">
        <v>9930.2570614546694</v>
      </c>
      <c r="D347" s="4">
        <v>-53.582802846668187</v>
      </c>
      <c r="E347" s="4">
        <v>885.09849459100337</v>
      </c>
    </row>
    <row r="348" spans="1:5" x14ac:dyDescent="0.35">
      <c r="A348" s="2">
        <v>35</v>
      </c>
      <c r="B348" s="2">
        <v>7</v>
      </c>
      <c r="C348" s="4">
        <v>7944.3134467839154</v>
      </c>
      <c r="D348" s="4">
        <v>834.72790506237322</v>
      </c>
      <c r="E348" s="4">
        <v>379.17313498766049</v>
      </c>
    </row>
    <row r="349" spans="1:5" x14ac:dyDescent="0.35">
      <c r="A349" s="2">
        <v>35</v>
      </c>
      <c r="B349" s="2">
        <v>8</v>
      </c>
      <c r="C349" s="4">
        <v>814.73399246578265</v>
      </c>
      <c r="D349" s="4">
        <v>1841.306682865154</v>
      </c>
      <c r="E349" s="4">
        <v>-989.79394800105968</v>
      </c>
    </row>
    <row r="350" spans="1:5" x14ac:dyDescent="0.35">
      <c r="A350" s="2">
        <v>35</v>
      </c>
      <c r="B350" s="2">
        <v>9</v>
      </c>
      <c r="C350" s="4">
        <v>750.37881926731256</v>
      </c>
      <c r="D350" s="4">
        <v>-910.76907947783548</v>
      </c>
      <c r="E350" s="4">
        <v>1012.645755126529</v>
      </c>
    </row>
    <row r="351" spans="1:5" x14ac:dyDescent="0.35">
      <c r="A351" s="2">
        <v>35</v>
      </c>
      <c r="B351" s="2">
        <v>10</v>
      </c>
      <c r="C351" s="4">
        <v>2049.3799962723961</v>
      </c>
      <c r="D351" s="4">
        <v>-1441.2051179945411</v>
      </c>
      <c r="E351" s="4">
        <v>-1701.937375455318</v>
      </c>
    </row>
    <row r="352" spans="1:5" x14ac:dyDescent="0.35">
      <c r="A352" s="2">
        <v>36</v>
      </c>
      <c r="B352" s="2">
        <v>1</v>
      </c>
      <c r="C352" s="4">
        <v>-7944.0396912749529</v>
      </c>
      <c r="D352" s="4">
        <v>-1168.196579744558</v>
      </c>
      <c r="E352" s="4">
        <v>-1343.8794994957341</v>
      </c>
    </row>
    <row r="353" spans="1:5" x14ac:dyDescent="0.35">
      <c r="A353" s="2">
        <v>36</v>
      </c>
      <c r="B353" s="2">
        <v>2</v>
      </c>
      <c r="C353" s="4">
        <v>5521.2709014349057</v>
      </c>
      <c r="D353" s="4">
        <v>-1656.5535520651999</v>
      </c>
      <c r="E353" s="4">
        <v>943.94173834692231</v>
      </c>
    </row>
    <row r="354" spans="1:5" x14ac:dyDescent="0.35">
      <c r="A354" s="2">
        <v>36</v>
      </c>
      <c r="B354" s="2">
        <v>3</v>
      </c>
      <c r="C354" s="4">
        <v>-298.36745020740523</v>
      </c>
      <c r="D354" s="4">
        <v>-27.34275870695096</v>
      </c>
      <c r="E354" s="4">
        <v>-117.71626930349581</v>
      </c>
    </row>
    <row r="355" spans="1:5" x14ac:dyDescent="0.35">
      <c r="A355" s="2">
        <v>36</v>
      </c>
      <c r="B355" s="2">
        <v>4</v>
      </c>
      <c r="C355" s="4">
        <v>226.10708917653841</v>
      </c>
      <c r="D355" s="4">
        <v>1595.48862437088</v>
      </c>
      <c r="E355" s="4">
        <v>837.14184665433004</v>
      </c>
    </row>
    <row r="356" spans="1:5" x14ac:dyDescent="0.35">
      <c r="A356" s="2">
        <v>36</v>
      </c>
      <c r="B356" s="2">
        <v>5</v>
      </c>
      <c r="C356" s="4">
        <v>-1093.7058244973391</v>
      </c>
      <c r="D356" s="4">
        <v>1536.7637090344219</v>
      </c>
      <c r="E356" s="4">
        <v>-179.02665546403091</v>
      </c>
    </row>
    <row r="357" spans="1:5" x14ac:dyDescent="0.35">
      <c r="A357" s="2">
        <v>36</v>
      </c>
      <c r="B357" s="2">
        <v>6</v>
      </c>
      <c r="C357" s="4">
        <v>9707.7124724378082</v>
      </c>
      <c r="D357" s="4">
        <v>-529.185215089949</v>
      </c>
      <c r="E357" s="4">
        <v>-913.12863851978557</v>
      </c>
    </row>
    <row r="358" spans="1:5" x14ac:dyDescent="0.35">
      <c r="A358" s="2">
        <v>36</v>
      </c>
      <c r="B358" s="2">
        <v>7</v>
      </c>
      <c r="C358" s="4">
        <v>-999.65916475510551</v>
      </c>
      <c r="D358" s="4">
        <v>1675.1281990764251</v>
      </c>
      <c r="E358" s="4">
        <v>-87.411883058641124</v>
      </c>
    </row>
    <row r="359" spans="1:5" x14ac:dyDescent="0.35">
      <c r="A359" s="2">
        <v>36</v>
      </c>
      <c r="B359" s="2">
        <v>8</v>
      </c>
      <c r="C359" s="4">
        <v>2252.0605334447418</v>
      </c>
      <c r="D359" s="4">
        <v>450.08763074668718</v>
      </c>
      <c r="E359" s="4">
        <v>-344.13483914973477</v>
      </c>
    </row>
    <row r="360" spans="1:5" x14ac:dyDescent="0.35">
      <c r="A360" s="2">
        <v>36</v>
      </c>
      <c r="B360" s="2">
        <v>9</v>
      </c>
      <c r="C360" s="4">
        <v>-2925.1946347908361</v>
      </c>
      <c r="D360" s="4">
        <v>-897.99246757390983</v>
      </c>
      <c r="E360" s="4">
        <v>-921.51858650552538</v>
      </c>
    </row>
    <row r="361" spans="1:5" x14ac:dyDescent="0.35">
      <c r="A361" s="2">
        <v>36</v>
      </c>
      <c r="B361" s="2">
        <v>10</v>
      </c>
      <c r="C361" s="4">
        <v>-4446.1842309679769</v>
      </c>
      <c r="D361" s="4">
        <v>-978.19759004790683</v>
      </c>
      <c r="E361" s="4">
        <v>2125.7327864956728</v>
      </c>
    </row>
    <row r="362" spans="1:5" x14ac:dyDescent="0.35">
      <c r="A362" s="2">
        <v>37</v>
      </c>
      <c r="B362" s="2">
        <v>1</v>
      </c>
      <c r="C362" s="4">
        <v>-1909.12602994895</v>
      </c>
      <c r="D362" s="4">
        <v>-1512.635033327723</v>
      </c>
      <c r="E362" s="4">
        <v>784.00430199104972</v>
      </c>
    </row>
    <row r="363" spans="1:5" x14ac:dyDescent="0.35">
      <c r="A363" s="2">
        <v>37</v>
      </c>
      <c r="B363" s="2">
        <v>2</v>
      </c>
      <c r="C363" s="4">
        <v>1131.250390099623</v>
      </c>
      <c r="D363" s="4">
        <v>-1778.629657943208</v>
      </c>
      <c r="E363" s="4">
        <v>276.22859994304957</v>
      </c>
    </row>
    <row r="364" spans="1:5" x14ac:dyDescent="0.35">
      <c r="A364" s="2">
        <v>37</v>
      </c>
      <c r="B364" s="2">
        <v>3</v>
      </c>
      <c r="C364" s="4">
        <v>263.61677617083319</v>
      </c>
      <c r="D364" s="4">
        <v>-659.48036918604225</v>
      </c>
      <c r="E364" s="4">
        <v>152.41361406827531</v>
      </c>
    </row>
    <row r="365" spans="1:5" x14ac:dyDescent="0.35">
      <c r="A365" s="2">
        <v>37</v>
      </c>
      <c r="B365" s="2">
        <v>4</v>
      </c>
      <c r="C365" s="4">
        <v>7921.384537074754</v>
      </c>
      <c r="D365" s="4">
        <v>-411.11599550209911</v>
      </c>
      <c r="E365" s="4">
        <v>-6.6235898059597256</v>
      </c>
    </row>
    <row r="366" spans="1:5" x14ac:dyDescent="0.35">
      <c r="A366" s="2">
        <v>37</v>
      </c>
      <c r="B366" s="2">
        <v>5</v>
      </c>
      <c r="C366" s="4">
        <v>1295.542380186992</v>
      </c>
      <c r="D366" s="4">
        <v>661.52406438223727</v>
      </c>
      <c r="E366" s="4">
        <v>-636.71530657447829</v>
      </c>
    </row>
    <row r="367" spans="1:5" x14ac:dyDescent="0.35">
      <c r="A367" s="2">
        <v>37</v>
      </c>
      <c r="B367" s="2">
        <v>6</v>
      </c>
      <c r="C367" s="4">
        <v>-4630.9991172318969</v>
      </c>
      <c r="D367" s="4">
        <v>-300.03033362842859</v>
      </c>
      <c r="E367" s="4">
        <v>-1950.58085525863</v>
      </c>
    </row>
    <row r="368" spans="1:5" x14ac:dyDescent="0.35">
      <c r="A368" s="2">
        <v>37</v>
      </c>
      <c r="B368" s="2">
        <v>7</v>
      </c>
      <c r="C368" s="4">
        <v>750.33920420471543</v>
      </c>
      <c r="D368" s="4">
        <v>2976.7969010525071</v>
      </c>
      <c r="E368" s="4">
        <v>67.283891442126972</v>
      </c>
    </row>
    <row r="369" spans="1:5" x14ac:dyDescent="0.35">
      <c r="A369" s="2">
        <v>37</v>
      </c>
      <c r="B369" s="2">
        <v>8</v>
      </c>
      <c r="C369" s="4">
        <v>320.07870218361512</v>
      </c>
      <c r="D369" s="4">
        <v>393.70129230408281</v>
      </c>
      <c r="E369" s="4">
        <v>-728.28181904357029</v>
      </c>
    </row>
    <row r="370" spans="1:5" x14ac:dyDescent="0.35">
      <c r="A370" s="2">
        <v>37</v>
      </c>
      <c r="B370" s="2">
        <v>9</v>
      </c>
      <c r="C370" s="4">
        <v>-2002.4164034802591</v>
      </c>
      <c r="D370" s="4">
        <v>-64.885623064141299</v>
      </c>
      <c r="E370" s="4">
        <v>-366.67082151659429</v>
      </c>
    </row>
    <row r="371" spans="1:5" x14ac:dyDescent="0.35">
      <c r="A371" s="2">
        <v>37</v>
      </c>
      <c r="B371" s="2">
        <v>10</v>
      </c>
      <c r="C371" s="4">
        <v>-3139.6704392599622</v>
      </c>
      <c r="D371" s="4">
        <v>694.75475491260261</v>
      </c>
      <c r="E371" s="4">
        <v>2408.941984754591</v>
      </c>
    </row>
    <row r="372" spans="1:5" x14ac:dyDescent="0.35">
      <c r="A372" s="2">
        <v>38</v>
      </c>
      <c r="B372" s="2">
        <v>1</v>
      </c>
      <c r="C372" s="4">
        <v>1006.783214837724</v>
      </c>
      <c r="D372" s="4">
        <v>3606.6283800517272</v>
      </c>
      <c r="E372" s="4">
        <v>354.89112275271691</v>
      </c>
    </row>
    <row r="373" spans="1:5" x14ac:dyDescent="0.35">
      <c r="A373" s="2">
        <v>38</v>
      </c>
      <c r="B373" s="2">
        <v>2</v>
      </c>
      <c r="C373" s="4">
        <v>274.89445977387999</v>
      </c>
      <c r="D373" s="4">
        <v>-927.8430515965041</v>
      </c>
      <c r="E373" s="4">
        <v>-1856.9365349080911</v>
      </c>
    </row>
    <row r="374" spans="1:5" x14ac:dyDescent="0.35">
      <c r="A374" s="2">
        <v>38</v>
      </c>
      <c r="B374" s="2">
        <v>3</v>
      </c>
      <c r="C374" s="4">
        <v>3548.0205870348582</v>
      </c>
      <c r="D374" s="4">
        <v>-66.537878112752594</v>
      </c>
      <c r="E374" s="4">
        <v>-828.13058251230734</v>
      </c>
    </row>
    <row r="375" spans="1:5" x14ac:dyDescent="0.35">
      <c r="A375" s="2">
        <v>38</v>
      </c>
      <c r="B375" s="2">
        <v>4</v>
      </c>
      <c r="C375" s="4">
        <v>-654.06243110240553</v>
      </c>
      <c r="D375" s="4">
        <v>-1140.0847848274</v>
      </c>
      <c r="E375" s="4">
        <v>-831.69606676294416</v>
      </c>
    </row>
    <row r="376" spans="1:5" x14ac:dyDescent="0.35">
      <c r="A376" s="2">
        <v>38</v>
      </c>
      <c r="B376" s="2">
        <v>5</v>
      </c>
      <c r="C376" s="4">
        <v>-3646.0965367895519</v>
      </c>
      <c r="D376" s="4">
        <v>-1727.735593591545</v>
      </c>
      <c r="E376" s="4">
        <v>208.93419679039971</v>
      </c>
    </row>
    <row r="377" spans="1:5" x14ac:dyDescent="0.35">
      <c r="A377" s="2">
        <v>38</v>
      </c>
      <c r="B377" s="2">
        <v>6</v>
      </c>
      <c r="C377" s="4">
        <v>-3842.0392947762689</v>
      </c>
      <c r="D377" s="4">
        <v>-19.520493538272689</v>
      </c>
      <c r="E377" s="4">
        <v>1099.058873227639</v>
      </c>
    </row>
    <row r="378" spans="1:5" x14ac:dyDescent="0.35">
      <c r="A378" s="2">
        <v>38</v>
      </c>
      <c r="B378" s="2">
        <v>7</v>
      </c>
      <c r="C378" s="4">
        <v>5210.7791519766452</v>
      </c>
      <c r="D378" s="4">
        <v>-1552.004155545957</v>
      </c>
      <c r="E378" s="4">
        <v>2353.1602120953798</v>
      </c>
    </row>
    <row r="379" spans="1:5" x14ac:dyDescent="0.35">
      <c r="A379" s="2">
        <v>38</v>
      </c>
      <c r="B379" s="2">
        <v>8</v>
      </c>
      <c r="C379" s="4">
        <v>5910.8214956928468</v>
      </c>
      <c r="D379" s="4">
        <v>423.52286665859458</v>
      </c>
      <c r="E379" s="4">
        <v>-747.31087019518486</v>
      </c>
    </row>
    <row r="380" spans="1:5" x14ac:dyDescent="0.35">
      <c r="A380" s="2">
        <v>38</v>
      </c>
      <c r="B380" s="2">
        <v>9</v>
      </c>
      <c r="C380" s="4">
        <v>-2662.207440070857</v>
      </c>
      <c r="D380" s="4">
        <v>1025.3609841302441</v>
      </c>
      <c r="E380" s="4">
        <v>387.9094435078008</v>
      </c>
    </row>
    <row r="381" spans="1:5" x14ac:dyDescent="0.35">
      <c r="A381" s="2">
        <v>38</v>
      </c>
      <c r="B381" s="2">
        <v>10</v>
      </c>
      <c r="C381" s="4">
        <v>-5146.8932065781783</v>
      </c>
      <c r="D381" s="4">
        <v>378.2137263718887</v>
      </c>
      <c r="E381" s="4">
        <v>-139.87979399529439</v>
      </c>
    </row>
    <row r="382" spans="1:5" x14ac:dyDescent="0.35">
      <c r="A382" s="2">
        <v>39</v>
      </c>
      <c r="B382" s="2">
        <v>1</v>
      </c>
      <c r="C382" s="8">
        <v>8690.0466565167171</v>
      </c>
      <c r="D382" s="4">
        <v>687.73251147229519</v>
      </c>
      <c r="E382" s="4">
        <v>1224.586045888065</v>
      </c>
    </row>
    <row r="383" spans="1:5" x14ac:dyDescent="0.35">
      <c r="A383" s="2">
        <v>39</v>
      </c>
      <c r="B383" s="2">
        <v>2</v>
      </c>
      <c r="C383" s="8">
        <v>153.90709333617681</v>
      </c>
      <c r="D383" s="4">
        <v>2350.2138109078778</v>
      </c>
      <c r="E383" s="4">
        <v>-2011.483305966246</v>
      </c>
    </row>
    <row r="384" spans="1:5" x14ac:dyDescent="0.35">
      <c r="A384" s="2">
        <v>39</v>
      </c>
      <c r="B384" s="2">
        <v>3</v>
      </c>
      <c r="C384" s="8">
        <v>1474.2558285476739</v>
      </c>
      <c r="D384" s="4">
        <v>-1575.975125466324</v>
      </c>
      <c r="E384" s="4">
        <v>-268.08519482186807</v>
      </c>
    </row>
    <row r="385" spans="1:5" x14ac:dyDescent="0.35">
      <c r="A385" s="2">
        <v>39</v>
      </c>
      <c r="B385" s="2">
        <v>4</v>
      </c>
      <c r="C385" s="8">
        <v>-243.53656140107029</v>
      </c>
      <c r="D385" s="4">
        <v>69.671088892071836</v>
      </c>
      <c r="E385" s="4">
        <v>-571.0569841175494</v>
      </c>
    </row>
    <row r="386" spans="1:5" x14ac:dyDescent="0.35">
      <c r="A386" s="2">
        <v>39</v>
      </c>
      <c r="B386" s="2">
        <v>5</v>
      </c>
      <c r="C386" s="8">
        <v>-2363.1399146261242</v>
      </c>
      <c r="D386" s="4">
        <v>-1797.800429359281</v>
      </c>
      <c r="E386" s="4">
        <v>-232.33397471872351</v>
      </c>
    </row>
    <row r="387" spans="1:5" x14ac:dyDescent="0.35">
      <c r="A387" s="2">
        <v>39</v>
      </c>
      <c r="B387" s="2">
        <v>6</v>
      </c>
      <c r="C387" s="8">
        <v>-2436.4221911323998</v>
      </c>
      <c r="D387" s="4">
        <v>953.24873835253629</v>
      </c>
      <c r="E387" s="4">
        <v>44.981473762333373</v>
      </c>
    </row>
    <row r="388" spans="1:5" x14ac:dyDescent="0.35">
      <c r="A388" s="2">
        <v>39</v>
      </c>
      <c r="B388" s="2">
        <v>7</v>
      </c>
      <c r="C388" s="8">
        <v>-297.73519895774808</v>
      </c>
      <c r="D388" s="4">
        <v>-2341.1539815591218</v>
      </c>
      <c r="E388" s="4">
        <v>-232.37053350747729</v>
      </c>
    </row>
    <row r="389" spans="1:5" x14ac:dyDescent="0.35">
      <c r="A389" s="2">
        <v>39</v>
      </c>
      <c r="B389" s="2">
        <v>8</v>
      </c>
      <c r="C389" s="8">
        <v>484.88177949924398</v>
      </c>
      <c r="D389" s="4">
        <v>-671.55543974978241</v>
      </c>
      <c r="E389" s="4">
        <v>-105.88217142158381</v>
      </c>
    </row>
    <row r="390" spans="1:5" x14ac:dyDescent="0.35">
      <c r="A390" s="2">
        <v>39</v>
      </c>
      <c r="B390" s="2">
        <v>9</v>
      </c>
      <c r="C390" s="8">
        <v>-4053.5621513949</v>
      </c>
      <c r="D390" s="4">
        <v>1141.4761313023339</v>
      </c>
      <c r="E390" s="4">
        <v>2836.5330083971298</v>
      </c>
    </row>
    <row r="391" spans="1:5" x14ac:dyDescent="0.35">
      <c r="A391" s="2">
        <v>39</v>
      </c>
      <c r="B391" s="2">
        <v>10</v>
      </c>
      <c r="C391" s="8">
        <v>-1408.6953403882021</v>
      </c>
      <c r="D391" s="4">
        <v>1184.1426952080219</v>
      </c>
      <c r="E391" s="4">
        <v>-684.88836349424764</v>
      </c>
    </row>
    <row r="392" spans="1:5" x14ac:dyDescent="0.35">
      <c r="A392" s="2">
        <v>40</v>
      </c>
      <c r="B392" s="2">
        <v>1</v>
      </c>
      <c r="C392" s="4">
        <v>996.12704154797291</v>
      </c>
      <c r="D392" s="4">
        <v>2412.7822237201758</v>
      </c>
      <c r="E392" s="4">
        <v>1606.903337050747</v>
      </c>
    </row>
    <row r="393" spans="1:5" x14ac:dyDescent="0.35">
      <c r="A393" s="2">
        <v>40</v>
      </c>
      <c r="B393" s="2">
        <v>2</v>
      </c>
      <c r="C393" s="4">
        <v>-5177.4945771177127</v>
      </c>
      <c r="D393" s="4">
        <v>1461.345497859679</v>
      </c>
      <c r="E393" s="4">
        <v>-219.16390287616809</v>
      </c>
    </row>
    <row r="394" spans="1:5" x14ac:dyDescent="0.35">
      <c r="A394" s="2">
        <v>40</v>
      </c>
      <c r="B394" s="2">
        <v>3</v>
      </c>
      <c r="C394" s="4">
        <v>4043.8969559702041</v>
      </c>
      <c r="D394" s="4">
        <v>-58.616749708293959</v>
      </c>
      <c r="E394" s="4">
        <v>134.98484079265941</v>
      </c>
    </row>
    <row r="395" spans="1:5" x14ac:dyDescent="0.35">
      <c r="A395" s="2">
        <v>40</v>
      </c>
      <c r="B395" s="2">
        <v>4</v>
      </c>
      <c r="C395" s="4">
        <v>-6872.0931952314377</v>
      </c>
      <c r="D395" s="4">
        <v>-1455.133948344321</v>
      </c>
      <c r="E395" s="4">
        <v>-792.69854775918793</v>
      </c>
    </row>
    <row r="396" spans="1:5" x14ac:dyDescent="0.35">
      <c r="A396" s="2">
        <v>40</v>
      </c>
      <c r="B396" s="2">
        <v>5</v>
      </c>
      <c r="C396" s="4">
        <v>813.80925050485473</v>
      </c>
      <c r="D396" s="4">
        <v>-1891.089921522743</v>
      </c>
      <c r="E396" s="4">
        <v>2586.6592674992949</v>
      </c>
    </row>
    <row r="397" spans="1:5" x14ac:dyDescent="0.35">
      <c r="A397" s="2">
        <v>40</v>
      </c>
      <c r="B397" s="2">
        <v>6</v>
      </c>
      <c r="C397" s="4">
        <v>2164.4574199341582</v>
      </c>
      <c r="D397" s="4">
        <v>-431.23621268236252</v>
      </c>
      <c r="E397" s="4">
        <v>-15.13734086524412</v>
      </c>
    </row>
    <row r="398" spans="1:5" x14ac:dyDescent="0.35">
      <c r="A398" s="2">
        <v>40</v>
      </c>
      <c r="B398" s="2">
        <v>7</v>
      </c>
      <c r="C398" s="4">
        <v>-1023.886447226645</v>
      </c>
      <c r="D398" s="4">
        <v>-781.16327771387182</v>
      </c>
      <c r="E398" s="4">
        <v>-583.92881681406834</v>
      </c>
    </row>
    <row r="399" spans="1:5" x14ac:dyDescent="0.35">
      <c r="A399" s="2">
        <v>40</v>
      </c>
      <c r="B399" s="2">
        <v>8</v>
      </c>
      <c r="C399" s="4">
        <v>7010.7974040955478</v>
      </c>
      <c r="D399" s="4">
        <v>-309.71581033619788</v>
      </c>
      <c r="E399" s="4">
        <v>-1681.5314628148019</v>
      </c>
    </row>
    <row r="400" spans="1:5" x14ac:dyDescent="0.35">
      <c r="A400" s="2">
        <v>40</v>
      </c>
      <c r="B400" s="2">
        <v>9</v>
      </c>
      <c r="C400" s="4">
        <v>-392.88399364021188</v>
      </c>
      <c r="D400" s="4">
        <v>760.00783519565698</v>
      </c>
      <c r="E400" s="4">
        <v>-1050.7119599862449</v>
      </c>
    </row>
    <row r="401" spans="1:5" x14ac:dyDescent="0.35">
      <c r="A401" s="2">
        <v>40</v>
      </c>
      <c r="B401" s="2">
        <v>10</v>
      </c>
      <c r="C401" s="4">
        <v>-1562.729858836823</v>
      </c>
      <c r="D401" s="4">
        <v>292.82036353219871</v>
      </c>
      <c r="E401" s="4">
        <v>14.62458577306527</v>
      </c>
    </row>
    <row r="402" spans="1:5" x14ac:dyDescent="0.35">
      <c r="A402" s="2">
        <v>41</v>
      </c>
      <c r="B402" s="2">
        <v>1</v>
      </c>
      <c r="C402" s="4">
        <v>-1082.706033526815</v>
      </c>
      <c r="D402" s="4">
        <v>-1579.234299774025</v>
      </c>
      <c r="E402" s="4">
        <v>-1104.35335556988</v>
      </c>
    </row>
    <row r="403" spans="1:5" x14ac:dyDescent="0.35">
      <c r="A403" s="2">
        <v>41</v>
      </c>
      <c r="B403" s="2">
        <v>2</v>
      </c>
      <c r="C403" s="4">
        <v>-609.78677976563711</v>
      </c>
      <c r="D403" s="4">
        <v>-632.67958515628993</v>
      </c>
      <c r="E403" s="4">
        <v>-557.61595458876116</v>
      </c>
    </row>
    <row r="404" spans="1:5" x14ac:dyDescent="0.35">
      <c r="A404" s="2">
        <v>41</v>
      </c>
      <c r="B404" s="2">
        <v>3</v>
      </c>
      <c r="C404" s="4">
        <v>5740.1550130563583</v>
      </c>
      <c r="D404" s="4">
        <v>-1217.9650547182209</v>
      </c>
      <c r="E404" s="4">
        <v>-877.32811617323785</v>
      </c>
    </row>
    <row r="405" spans="1:5" x14ac:dyDescent="0.35">
      <c r="A405" s="2">
        <v>41</v>
      </c>
      <c r="B405" s="2">
        <v>4</v>
      </c>
      <c r="C405" s="4">
        <v>-2263.5089815989868</v>
      </c>
      <c r="D405" s="4">
        <v>-1367.359604833151</v>
      </c>
      <c r="E405" s="4">
        <v>-125.1494446977616</v>
      </c>
    </row>
    <row r="406" spans="1:5" x14ac:dyDescent="0.35">
      <c r="A406" s="2">
        <v>41</v>
      </c>
      <c r="B406" s="2">
        <v>5</v>
      </c>
      <c r="C406" s="4">
        <v>-777.61169293725186</v>
      </c>
      <c r="D406" s="4">
        <v>3147.7380494079312</v>
      </c>
      <c r="E406" s="4">
        <v>396.7270861619146</v>
      </c>
    </row>
    <row r="407" spans="1:5" x14ac:dyDescent="0.35">
      <c r="A407" s="2">
        <v>41</v>
      </c>
      <c r="B407" s="2">
        <v>6</v>
      </c>
      <c r="C407" s="4">
        <v>887.97907548109322</v>
      </c>
      <c r="D407" s="4">
        <v>775.28042240808293</v>
      </c>
      <c r="E407" s="4">
        <v>-293.63922835416219</v>
      </c>
    </row>
    <row r="408" spans="1:5" x14ac:dyDescent="0.35">
      <c r="A408" s="2">
        <v>41</v>
      </c>
      <c r="B408" s="2">
        <v>7</v>
      </c>
      <c r="C408" s="4">
        <v>-213.13094625268749</v>
      </c>
      <c r="D408" s="4">
        <v>-137.2176846107167</v>
      </c>
      <c r="E408" s="4">
        <v>-359.8996699096125</v>
      </c>
    </row>
    <row r="409" spans="1:5" x14ac:dyDescent="0.35">
      <c r="A409" s="2">
        <v>41</v>
      </c>
      <c r="B409" s="2">
        <v>8</v>
      </c>
      <c r="C409" s="4">
        <v>1430.005914780186</v>
      </c>
      <c r="D409" s="4">
        <v>-710.11388009738744</v>
      </c>
      <c r="E409" s="4">
        <v>3642.3506573639579</v>
      </c>
    </row>
    <row r="410" spans="1:5" x14ac:dyDescent="0.35">
      <c r="A410" s="2">
        <v>41</v>
      </c>
      <c r="B410" s="2">
        <v>9</v>
      </c>
      <c r="C410" s="4">
        <v>1253.237685649324</v>
      </c>
      <c r="D410" s="4">
        <v>2146.734911687417</v>
      </c>
      <c r="E410" s="4">
        <v>-827.06421623875019</v>
      </c>
    </row>
    <row r="411" spans="1:5" x14ac:dyDescent="0.35">
      <c r="A411" s="2">
        <v>41</v>
      </c>
      <c r="B411" s="2">
        <v>10</v>
      </c>
      <c r="C411" s="4">
        <v>-4364.6332548854944</v>
      </c>
      <c r="D411" s="4">
        <v>-425.18327431376298</v>
      </c>
      <c r="E411" s="4">
        <v>105.9722420064636</v>
      </c>
    </row>
    <row r="412" spans="1:5" x14ac:dyDescent="0.35">
      <c r="A412" s="2">
        <v>42</v>
      </c>
      <c r="B412" s="2">
        <v>1</v>
      </c>
      <c r="C412" s="4">
        <v>5136.8444707902481</v>
      </c>
      <c r="D412" s="4">
        <v>-1649.5011190987061</v>
      </c>
      <c r="E412" s="4">
        <v>-1614.322581780312</v>
      </c>
    </row>
    <row r="413" spans="1:5" x14ac:dyDescent="0.35">
      <c r="A413" s="2">
        <v>42</v>
      </c>
      <c r="B413" s="2">
        <v>2</v>
      </c>
      <c r="C413" s="4">
        <v>-713.08649476990774</v>
      </c>
      <c r="D413" s="4">
        <v>1994.310849459614</v>
      </c>
      <c r="E413" s="4">
        <v>-1739.976183974984</v>
      </c>
    </row>
    <row r="414" spans="1:5" x14ac:dyDescent="0.35">
      <c r="A414" s="2">
        <v>42</v>
      </c>
      <c r="B414" s="2">
        <v>3</v>
      </c>
      <c r="C414" s="4">
        <v>311.12848555572782</v>
      </c>
      <c r="D414" s="4">
        <v>-1154.789719970749</v>
      </c>
      <c r="E414" s="4">
        <v>591.20314470071207</v>
      </c>
    </row>
    <row r="415" spans="1:5" x14ac:dyDescent="0.35">
      <c r="A415" s="2">
        <v>42</v>
      </c>
      <c r="B415" s="2">
        <v>4</v>
      </c>
      <c r="C415" s="4">
        <v>666.52326295415105</v>
      </c>
      <c r="D415" s="4">
        <v>93.759515865862511</v>
      </c>
      <c r="E415" s="4">
        <v>655.62165775406186</v>
      </c>
    </row>
    <row r="416" spans="1:5" x14ac:dyDescent="0.35">
      <c r="A416" s="2">
        <v>42</v>
      </c>
      <c r="B416" s="2">
        <v>5</v>
      </c>
      <c r="C416" s="4">
        <v>-1306.070326870054</v>
      </c>
      <c r="D416" s="4">
        <v>489.90726480273253</v>
      </c>
      <c r="E416" s="4">
        <v>2512.7388440384188</v>
      </c>
    </row>
    <row r="417" spans="1:5" x14ac:dyDescent="0.35">
      <c r="A417" s="2">
        <v>42</v>
      </c>
      <c r="B417" s="2">
        <v>6</v>
      </c>
      <c r="C417" s="4">
        <v>2631.6835111688201</v>
      </c>
      <c r="D417" s="4">
        <v>-366.74092343446853</v>
      </c>
      <c r="E417" s="4">
        <v>1314.206683613309</v>
      </c>
    </row>
    <row r="418" spans="1:5" x14ac:dyDescent="0.35">
      <c r="A418" s="2">
        <v>42</v>
      </c>
      <c r="B418" s="2">
        <v>7</v>
      </c>
      <c r="C418" s="4">
        <v>-4282.3142200645307</v>
      </c>
      <c r="D418" s="4">
        <v>-1362.620052917775</v>
      </c>
      <c r="E418" s="4">
        <v>-485.61089286737661</v>
      </c>
    </row>
    <row r="419" spans="1:5" x14ac:dyDescent="0.35">
      <c r="A419" s="2">
        <v>42</v>
      </c>
      <c r="B419" s="2">
        <v>8</v>
      </c>
      <c r="C419" s="4">
        <v>1990.258831233084</v>
      </c>
      <c r="D419" s="4">
        <v>2187.0106472088419</v>
      </c>
      <c r="E419" s="4">
        <v>379.03871343793298</v>
      </c>
    </row>
    <row r="420" spans="1:5" x14ac:dyDescent="0.35">
      <c r="A420" s="2">
        <v>42</v>
      </c>
      <c r="B420" s="2">
        <v>9</v>
      </c>
      <c r="C420" s="4">
        <v>-2510.6215630374891</v>
      </c>
      <c r="D420" s="4">
        <v>-1985.5600610438801</v>
      </c>
      <c r="E420" s="4">
        <v>-539.64530688244747</v>
      </c>
    </row>
    <row r="421" spans="1:5" x14ac:dyDescent="0.35">
      <c r="A421" s="2">
        <v>42</v>
      </c>
      <c r="B421" s="2">
        <v>10</v>
      </c>
      <c r="C421" s="4">
        <v>-1924.3459569597339</v>
      </c>
      <c r="D421" s="4">
        <v>1754.223599128582</v>
      </c>
      <c r="E421" s="4">
        <v>-1073.254078039068</v>
      </c>
    </row>
    <row r="422" spans="1:5" x14ac:dyDescent="0.35">
      <c r="A422" s="2">
        <v>43</v>
      </c>
      <c r="B422" s="2">
        <v>1</v>
      </c>
      <c r="C422" s="4">
        <v>11274.88872797729</v>
      </c>
      <c r="D422" s="4">
        <v>8585.8980811517085</v>
      </c>
      <c r="E422" s="4">
        <v>-5200.0219696610848</v>
      </c>
    </row>
    <row r="423" spans="1:5" x14ac:dyDescent="0.35">
      <c r="A423" s="2">
        <v>43</v>
      </c>
      <c r="B423" s="2">
        <v>2</v>
      </c>
      <c r="C423" s="4">
        <v>10424.930001649789</v>
      </c>
      <c r="D423" s="4">
        <v>4135.0632841858896</v>
      </c>
      <c r="E423" s="4">
        <v>5369.1255441837966</v>
      </c>
    </row>
    <row r="424" spans="1:5" x14ac:dyDescent="0.35">
      <c r="A424" s="2">
        <v>43</v>
      </c>
      <c r="B424" s="2">
        <v>3</v>
      </c>
      <c r="C424" s="4">
        <v>-7427.6291014390436</v>
      </c>
      <c r="D424" s="4">
        <v>880.73890393491797</v>
      </c>
      <c r="E424" s="4">
        <v>651.53942208086744</v>
      </c>
    </row>
    <row r="425" spans="1:5" x14ac:dyDescent="0.35">
      <c r="A425" s="2">
        <v>43</v>
      </c>
      <c r="B425" s="2">
        <v>4</v>
      </c>
      <c r="C425" s="4">
        <v>-9817.8001771346771</v>
      </c>
      <c r="D425" s="4">
        <v>368.83282860324778</v>
      </c>
      <c r="E425" s="4">
        <v>-2485.4843925441342</v>
      </c>
    </row>
    <row r="426" spans="1:5" x14ac:dyDescent="0.35">
      <c r="A426" s="2">
        <v>43</v>
      </c>
      <c r="B426" s="2">
        <v>5</v>
      </c>
      <c r="C426" s="4">
        <v>4248.5317288806273</v>
      </c>
      <c r="D426" s="4">
        <v>-6388.7794976095211</v>
      </c>
      <c r="E426" s="4">
        <v>-21.19943083694308</v>
      </c>
    </row>
    <row r="427" spans="1:5" x14ac:dyDescent="0.35">
      <c r="A427" s="2">
        <v>43</v>
      </c>
      <c r="B427" s="2">
        <v>6</v>
      </c>
      <c r="C427" s="4">
        <v>-407.84728030784549</v>
      </c>
      <c r="D427" s="4">
        <v>-4444.5744828440529</v>
      </c>
      <c r="E427" s="4">
        <v>-813.0871735211465</v>
      </c>
    </row>
    <row r="428" spans="1:5" x14ac:dyDescent="0.35">
      <c r="A428" s="2">
        <v>43</v>
      </c>
      <c r="B428" s="2">
        <v>7</v>
      </c>
      <c r="C428" s="4">
        <v>4110.0643522253195</v>
      </c>
      <c r="D428" s="4">
        <v>-6539.5801487705339</v>
      </c>
      <c r="E428" s="4">
        <v>90.868007765050734</v>
      </c>
    </row>
    <row r="429" spans="1:5" x14ac:dyDescent="0.35">
      <c r="A429" s="2">
        <v>43</v>
      </c>
      <c r="B429" s="2">
        <v>8</v>
      </c>
      <c r="C429" s="4">
        <v>-2909.816832143129</v>
      </c>
      <c r="D429" s="4">
        <v>-3546.5965901115778</v>
      </c>
      <c r="E429" s="4">
        <v>-731.01046045828332</v>
      </c>
    </row>
    <row r="430" spans="1:5" x14ac:dyDescent="0.35">
      <c r="A430" s="2">
        <v>43</v>
      </c>
      <c r="B430" s="2">
        <v>9</v>
      </c>
      <c r="C430" s="4">
        <v>-141.1830399333914</v>
      </c>
      <c r="D430" s="4">
        <v>-2481.2453857999221</v>
      </c>
      <c r="E430" s="4">
        <v>1054.749124068836</v>
      </c>
    </row>
    <row r="431" spans="1:5" x14ac:dyDescent="0.35">
      <c r="A431" s="2">
        <v>43</v>
      </c>
      <c r="B431" s="2">
        <v>10</v>
      </c>
      <c r="C431" s="4">
        <v>-9354.1383797741091</v>
      </c>
      <c r="D431" s="4">
        <v>9430.2430072602983</v>
      </c>
      <c r="E431" s="4">
        <v>2084.52132892289</v>
      </c>
    </row>
    <row r="432" spans="1:5" x14ac:dyDescent="0.35">
      <c r="A432" s="2">
        <v>44</v>
      </c>
      <c r="B432" s="2">
        <v>1</v>
      </c>
      <c r="C432" s="4">
        <v>-3227.8283723935529</v>
      </c>
      <c r="D432" s="4">
        <v>3215.734032036416</v>
      </c>
      <c r="E432" s="4">
        <v>-305.31921890891311</v>
      </c>
    </row>
    <row r="433" spans="1:5" x14ac:dyDescent="0.35">
      <c r="A433" s="2">
        <v>44</v>
      </c>
      <c r="B433" s="2">
        <v>2</v>
      </c>
      <c r="C433" s="4">
        <v>-711.32484484100064</v>
      </c>
      <c r="D433" s="4">
        <v>-806.35517908778309</v>
      </c>
      <c r="E433" s="4">
        <v>-891.3524582603369</v>
      </c>
    </row>
    <row r="434" spans="1:5" x14ac:dyDescent="0.35">
      <c r="A434" s="2">
        <v>44</v>
      </c>
      <c r="B434" s="2">
        <v>3</v>
      </c>
      <c r="C434" s="4">
        <v>-426.81369913059012</v>
      </c>
      <c r="D434" s="4">
        <v>1470.0038630429599</v>
      </c>
      <c r="E434" s="4">
        <v>-251.33692213358611</v>
      </c>
    </row>
    <row r="435" spans="1:5" x14ac:dyDescent="0.35">
      <c r="A435" s="2">
        <v>44</v>
      </c>
      <c r="B435" s="2">
        <v>4</v>
      </c>
      <c r="C435" s="4">
        <v>-2671.8494897406449</v>
      </c>
      <c r="D435" s="4">
        <v>-1836.2389901676811</v>
      </c>
      <c r="E435" s="4">
        <v>1057.3577186478719</v>
      </c>
    </row>
    <row r="436" spans="1:5" x14ac:dyDescent="0.35">
      <c r="A436" s="2">
        <v>44</v>
      </c>
      <c r="B436" s="2">
        <v>5</v>
      </c>
      <c r="C436" s="4">
        <v>6793.5691874209724</v>
      </c>
      <c r="D436" s="4">
        <v>686.12272096770266</v>
      </c>
      <c r="E436" s="4">
        <v>2567.3532028209602</v>
      </c>
    </row>
    <row r="437" spans="1:5" x14ac:dyDescent="0.35">
      <c r="A437" s="2">
        <v>44</v>
      </c>
      <c r="B437" s="2">
        <v>6</v>
      </c>
      <c r="C437" s="4">
        <v>-252.2648803005155</v>
      </c>
      <c r="D437" s="4">
        <v>-546.92353869814485</v>
      </c>
      <c r="E437" s="4">
        <v>596.29604110363402</v>
      </c>
    </row>
    <row r="438" spans="1:5" x14ac:dyDescent="0.35">
      <c r="A438" s="2">
        <v>44</v>
      </c>
      <c r="B438" s="2">
        <v>7</v>
      </c>
      <c r="C438" s="4">
        <v>5037.9235230416398</v>
      </c>
      <c r="D438" s="4">
        <v>-447.75532424360608</v>
      </c>
      <c r="E438" s="4">
        <v>-2554.3703802508999</v>
      </c>
    </row>
    <row r="439" spans="1:5" x14ac:dyDescent="0.35">
      <c r="A439" s="2">
        <v>44</v>
      </c>
      <c r="B439" s="2">
        <v>8</v>
      </c>
      <c r="C439" s="4">
        <v>-533.80606571506326</v>
      </c>
      <c r="D439" s="4">
        <v>-568.91611342511214</v>
      </c>
      <c r="E439" s="4">
        <v>-865.75701622401039</v>
      </c>
    </row>
    <row r="440" spans="1:5" x14ac:dyDescent="0.35">
      <c r="A440" s="2">
        <v>44</v>
      </c>
      <c r="B440" s="2">
        <v>9</v>
      </c>
      <c r="C440" s="4">
        <v>-3891.4240205718261</v>
      </c>
      <c r="D440" s="4">
        <v>-674.11979202104749</v>
      </c>
      <c r="E440" s="4">
        <v>982.99349893144245</v>
      </c>
    </row>
    <row r="441" spans="1:5" x14ac:dyDescent="0.35">
      <c r="A441" s="2">
        <v>44</v>
      </c>
      <c r="B441" s="2">
        <v>10</v>
      </c>
      <c r="C441" s="4">
        <v>-116.181337769441</v>
      </c>
      <c r="D441" s="4">
        <v>-491.55167840360099</v>
      </c>
      <c r="E441" s="4">
        <v>-335.86446572638738</v>
      </c>
    </row>
    <row r="442" spans="1:5" x14ac:dyDescent="0.35">
      <c r="A442" s="2">
        <v>45</v>
      </c>
      <c r="B442" s="2">
        <v>1</v>
      </c>
      <c r="C442" s="4">
        <v>-4666.9528964071133</v>
      </c>
      <c r="D442" s="4">
        <v>-538.80359627075484</v>
      </c>
      <c r="E442" s="4">
        <v>-410.9822788517908</v>
      </c>
    </row>
    <row r="443" spans="1:5" x14ac:dyDescent="0.35">
      <c r="A443" s="2">
        <v>45</v>
      </c>
      <c r="B443" s="2">
        <v>2</v>
      </c>
      <c r="C443" s="4">
        <v>-4165.8997595790088</v>
      </c>
      <c r="D443" s="4">
        <v>-1568.7942024030331</v>
      </c>
      <c r="E443" s="4">
        <v>-1154.6743901351001</v>
      </c>
    </row>
    <row r="444" spans="1:5" x14ac:dyDescent="0.35">
      <c r="A444" s="2">
        <v>45</v>
      </c>
      <c r="B444" s="2">
        <v>3</v>
      </c>
      <c r="C444" s="4">
        <v>-2070.900975056401</v>
      </c>
      <c r="D444" s="4">
        <v>397.29598548662409</v>
      </c>
      <c r="E444" s="4">
        <v>975.86440032201551</v>
      </c>
    </row>
    <row r="445" spans="1:5" x14ac:dyDescent="0.35">
      <c r="A445" s="2">
        <v>45</v>
      </c>
      <c r="B445" s="2">
        <v>4</v>
      </c>
      <c r="C445" s="4">
        <v>1777.3711886049921</v>
      </c>
      <c r="D445" s="4">
        <v>-1205.954055930617</v>
      </c>
      <c r="E445" s="4">
        <v>-1192.0468455959999</v>
      </c>
    </row>
    <row r="446" spans="1:5" x14ac:dyDescent="0.35">
      <c r="A446" s="2">
        <v>45</v>
      </c>
      <c r="B446" s="2">
        <v>5</v>
      </c>
      <c r="C446" s="4">
        <v>5360.0578814261917</v>
      </c>
      <c r="D446" s="4">
        <v>-892.33939208317258</v>
      </c>
      <c r="E446" s="4">
        <v>2622.859935129286</v>
      </c>
    </row>
    <row r="447" spans="1:5" x14ac:dyDescent="0.35">
      <c r="A447" s="2">
        <v>45</v>
      </c>
      <c r="B447" s="2">
        <v>6</v>
      </c>
      <c r="C447" s="4">
        <v>1999.4775574303751</v>
      </c>
      <c r="D447" s="4">
        <v>-1158.459759582458</v>
      </c>
      <c r="E447" s="4">
        <v>-1271.49785781797</v>
      </c>
    </row>
    <row r="448" spans="1:5" x14ac:dyDescent="0.35">
      <c r="A448" s="2">
        <v>45</v>
      </c>
      <c r="B448" s="2">
        <v>7</v>
      </c>
      <c r="C448" s="4">
        <v>-950.45016861746035</v>
      </c>
      <c r="D448" s="4">
        <v>-295.2606405309528</v>
      </c>
      <c r="E448" s="4">
        <v>209.69433475805519</v>
      </c>
    </row>
    <row r="449" spans="1:5" x14ac:dyDescent="0.35">
      <c r="A449" s="2">
        <v>45</v>
      </c>
      <c r="B449" s="2">
        <v>8</v>
      </c>
      <c r="C449" s="4">
        <v>2076.621421764205</v>
      </c>
      <c r="D449" s="4">
        <v>4002.4261504822771</v>
      </c>
      <c r="E449" s="4">
        <v>-1625.099436071607</v>
      </c>
    </row>
    <row r="450" spans="1:5" x14ac:dyDescent="0.35">
      <c r="A450" s="2">
        <v>45</v>
      </c>
      <c r="B450" s="2">
        <v>9</v>
      </c>
      <c r="C450" s="4">
        <v>-3968.4002900690839</v>
      </c>
      <c r="D450" s="4">
        <v>1560.3188078115079</v>
      </c>
      <c r="E450" s="4">
        <v>2219.6277979810579</v>
      </c>
    </row>
    <row r="451" spans="1:5" x14ac:dyDescent="0.35">
      <c r="A451" s="2">
        <v>45</v>
      </c>
      <c r="B451" s="2">
        <v>10</v>
      </c>
      <c r="C451" s="4">
        <v>4609.0760405027622</v>
      </c>
      <c r="D451" s="4">
        <v>-300.42929697958908</v>
      </c>
      <c r="E451" s="4">
        <v>-373.74565971819459</v>
      </c>
    </row>
    <row r="452" spans="1:5" x14ac:dyDescent="0.35">
      <c r="A452" s="2">
        <v>46</v>
      </c>
      <c r="B452" s="2">
        <v>1</v>
      </c>
      <c r="C452" s="4">
        <v>-1697.4814097623159</v>
      </c>
      <c r="D452" s="4">
        <v>-1845.2916126576449</v>
      </c>
      <c r="E452" s="4">
        <v>-663.56608992968813</v>
      </c>
    </row>
    <row r="453" spans="1:5" x14ac:dyDescent="0.35">
      <c r="A453" s="2">
        <v>46</v>
      </c>
      <c r="B453" s="2">
        <v>2</v>
      </c>
      <c r="C453" s="4">
        <v>-459.2810114135828</v>
      </c>
      <c r="D453" s="4">
        <v>1378.0193488191601</v>
      </c>
      <c r="E453" s="4">
        <v>-3013.800732008187</v>
      </c>
    </row>
    <row r="454" spans="1:5" x14ac:dyDescent="0.35">
      <c r="A454" s="2">
        <v>46</v>
      </c>
      <c r="B454" s="2">
        <v>3</v>
      </c>
      <c r="C454" s="4">
        <v>-1619.659360544347</v>
      </c>
      <c r="D454" s="4">
        <v>-364.36446082712672</v>
      </c>
      <c r="E454" s="4">
        <v>3370.240094806682</v>
      </c>
    </row>
    <row r="455" spans="1:5" x14ac:dyDescent="0.35">
      <c r="A455" s="2">
        <v>46</v>
      </c>
      <c r="B455" s="2">
        <v>4</v>
      </c>
      <c r="C455" s="4">
        <v>4118.4178888999932</v>
      </c>
      <c r="D455" s="4">
        <v>1030.414846755803</v>
      </c>
      <c r="E455" s="4">
        <v>330.60904885023177</v>
      </c>
    </row>
    <row r="456" spans="1:5" x14ac:dyDescent="0.35">
      <c r="A456" s="2">
        <v>46</v>
      </c>
      <c r="B456" s="2">
        <v>5</v>
      </c>
      <c r="C456" s="4">
        <v>-3193.7651125058828</v>
      </c>
      <c r="D456" s="4">
        <v>2872.6896384122092</v>
      </c>
      <c r="E456" s="4">
        <v>493.17273348001459</v>
      </c>
    </row>
    <row r="457" spans="1:5" x14ac:dyDescent="0.35">
      <c r="A457" s="2">
        <v>46</v>
      </c>
      <c r="B457" s="2">
        <v>6</v>
      </c>
      <c r="C457" s="4">
        <v>1042.849045086951</v>
      </c>
      <c r="D457" s="4">
        <v>273.84056479250921</v>
      </c>
      <c r="E457" s="4">
        <v>237.220412609682</v>
      </c>
    </row>
    <row r="458" spans="1:5" x14ac:dyDescent="0.35">
      <c r="A458" s="2">
        <v>46</v>
      </c>
      <c r="B458" s="2">
        <v>7</v>
      </c>
      <c r="C458" s="4">
        <v>578.94203084213495</v>
      </c>
      <c r="D458" s="4">
        <v>1604.324833431441</v>
      </c>
      <c r="E458" s="4">
        <v>148.68183652833909</v>
      </c>
    </row>
    <row r="459" spans="1:5" x14ac:dyDescent="0.35">
      <c r="A459" s="2">
        <v>46</v>
      </c>
      <c r="B459" s="2">
        <v>8</v>
      </c>
      <c r="C459" s="4">
        <v>223.89292426397569</v>
      </c>
      <c r="D459" s="4">
        <v>-2408.0977603695578</v>
      </c>
      <c r="E459" s="4">
        <v>-699.8870604731411</v>
      </c>
    </row>
    <row r="460" spans="1:5" x14ac:dyDescent="0.35">
      <c r="A460" s="2">
        <v>46</v>
      </c>
      <c r="B460" s="2">
        <v>9</v>
      </c>
      <c r="C460" s="4">
        <v>-4466.7367170404241</v>
      </c>
      <c r="D460" s="4">
        <v>-1516.723447998337</v>
      </c>
      <c r="E460" s="4">
        <v>-411.88697363274969</v>
      </c>
    </row>
    <row r="461" spans="1:5" x14ac:dyDescent="0.35">
      <c r="A461" s="2">
        <v>46</v>
      </c>
      <c r="B461" s="2">
        <v>10</v>
      </c>
      <c r="C461" s="4">
        <v>5472.8217221734394</v>
      </c>
      <c r="D461" s="4">
        <v>-1024.811950358682</v>
      </c>
      <c r="E461" s="4">
        <v>209.21672976860251</v>
      </c>
    </row>
    <row r="462" spans="1:5" x14ac:dyDescent="0.35">
      <c r="A462" s="2">
        <v>47</v>
      </c>
      <c r="B462" s="2">
        <v>1</v>
      </c>
      <c r="C462" s="4">
        <v>4893.4752414190662</v>
      </c>
      <c r="D462" s="4">
        <v>758.45048350896866</v>
      </c>
      <c r="E462" s="4">
        <v>351.1489740388073</v>
      </c>
    </row>
    <row r="463" spans="1:5" x14ac:dyDescent="0.35">
      <c r="A463" s="2">
        <v>47</v>
      </c>
      <c r="B463" s="2">
        <v>2</v>
      </c>
      <c r="C463" s="4">
        <v>-1950.9240109093371</v>
      </c>
      <c r="D463" s="4">
        <v>-539.34859414169523</v>
      </c>
      <c r="E463" s="4">
        <v>-597.40819102306125</v>
      </c>
    </row>
    <row r="464" spans="1:5" x14ac:dyDescent="0.35">
      <c r="A464" s="2">
        <v>47</v>
      </c>
      <c r="B464" s="2">
        <v>3</v>
      </c>
      <c r="C464" s="4">
        <v>-2400.1148952399808</v>
      </c>
      <c r="D464" s="4">
        <v>3672.1332044540559</v>
      </c>
      <c r="E464" s="4">
        <v>-1885.5467164738279</v>
      </c>
    </row>
    <row r="465" spans="1:5" x14ac:dyDescent="0.35">
      <c r="A465" s="2">
        <v>47</v>
      </c>
      <c r="B465" s="2">
        <v>4</v>
      </c>
      <c r="C465" s="4">
        <v>-211.16026892166721</v>
      </c>
      <c r="D465" s="4">
        <v>1036.561333846767</v>
      </c>
      <c r="E465" s="4">
        <v>-21.013677925940929</v>
      </c>
    </row>
    <row r="466" spans="1:5" x14ac:dyDescent="0.35">
      <c r="A466" s="2">
        <v>47</v>
      </c>
      <c r="B466" s="2">
        <v>5</v>
      </c>
      <c r="C466" s="4">
        <v>-2796.36732090539</v>
      </c>
      <c r="D466" s="4">
        <v>588.50714180874513</v>
      </c>
      <c r="E466" s="4">
        <v>4012.2081323777738</v>
      </c>
    </row>
    <row r="467" spans="1:5" x14ac:dyDescent="0.35">
      <c r="A467" s="2">
        <v>47</v>
      </c>
      <c r="B467" s="2">
        <v>6</v>
      </c>
      <c r="C467" s="4">
        <v>-1824.6026016748599</v>
      </c>
      <c r="D467" s="4">
        <v>-425.6383666757115</v>
      </c>
      <c r="E467" s="4">
        <v>-135.95270545323109</v>
      </c>
    </row>
    <row r="468" spans="1:5" x14ac:dyDescent="0.35">
      <c r="A468" s="2">
        <v>47</v>
      </c>
      <c r="B468" s="2">
        <v>7</v>
      </c>
      <c r="C468" s="4">
        <v>1699.960698445431</v>
      </c>
      <c r="D468" s="4">
        <v>-933.34655413719054</v>
      </c>
      <c r="E468" s="4">
        <v>92.71029671973325</v>
      </c>
    </row>
    <row r="469" spans="1:5" x14ac:dyDescent="0.35">
      <c r="A469" s="2">
        <v>47</v>
      </c>
      <c r="B469" s="2">
        <v>8</v>
      </c>
      <c r="C469" s="4">
        <v>-3008.5384337339128</v>
      </c>
      <c r="D469" s="4">
        <v>-2345.8274989741949</v>
      </c>
      <c r="E469" s="4">
        <v>-1244.0406013728641</v>
      </c>
    </row>
    <row r="470" spans="1:5" x14ac:dyDescent="0.35">
      <c r="A470" s="2">
        <v>47</v>
      </c>
      <c r="B470" s="2">
        <v>9</v>
      </c>
      <c r="C470" s="4">
        <v>5050.6931650131528</v>
      </c>
      <c r="D470" s="4">
        <v>146.3143704440746</v>
      </c>
      <c r="E470" s="4">
        <v>-6.5132584553927924</v>
      </c>
    </row>
    <row r="471" spans="1:5" x14ac:dyDescent="0.35">
      <c r="A471" s="2">
        <v>47</v>
      </c>
      <c r="B471" s="2">
        <v>10</v>
      </c>
      <c r="C471" s="4">
        <v>547.57842650723342</v>
      </c>
      <c r="D471" s="4">
        <v>-1957.8055201340751</v>
      </c>
      <c r="E471" s="4">
        <v>-565.59225243211097</v>
      </c>
    </row>
    <row r="472" spans="1:5" x14ac:dyDescent="0.35">
      <c r="A472" s="2">
        <v>48</v>
      </c>
      <c r="B472" s="2">
        <v>1</v>
      </c>
      <c r="C472" s="4">
        <v>-3006.3599298881259</v>
      </c>
      <c r="D472" s="4">
        <v>-1999.1463897811821</v>
      </c>
      <c r="E472" s="4">
        <v>1689.477900020092</v>
      </c>
    </row>
    <row r="473" spans="1:5" x14ac:dyDescent="0.35">
      <c r="A473" s="2">
        <v>48</v>
      </c>
      <c r="B473" s="2">
        <v>2</v>
      </c>
      <c r="C473" s="4">
        <v>1361.5500724121</v>
      </c>
      <c r="D473" s="4">
        <v>2075.7223437512248</v>
      </c>
      <c r="E473" s="4">
        <v>-1263.7223129837409</v>
      </c>
    </row>
    <row r="474" spans="1:5" x14ac:dyDescent="0.35">
      <c r="A474" s="2">
        <v>48</v>
      </c>
      <c r="B474" s="2">
        <v>3</v>
      </c>
      <c r="C474" s="4">
        <v>-1723.5038496937129</v>
      </c>
      <c r="D474" s="4">
        <v>-2499.1200421395069</v>
      </c>
      <c r="E474" s="4">
        <v>-2655.8548635726311</v>
      </c>
    </row>
    <row r="475" spans="1:5" x14ac:dyDescent="0.35">
      <c r="A475" s="2">
        <v>48</v>
      </c>
      <c r="B475" s="2">
        <v>4</v>
      </c>
      <c r="C475" s="4">
        <v>1504.6848579659761</v>
      </c>
      <c r="D475" s="4">
        <v>1989.4413165185881</v>
      </c>
      <c r="E475" s="4">
        <v>-652.25032117949127</v>
      </c>
    </row>
    <row r="476" spans="1:5" x14ac:dyDescent="0.35">
      <c r="A476" s="2">
        <v>48</v>
      </c>
      <c r="B476" s="2">
        <v>5</v>
      </c>
      <c r="C476" s="4">
        <v>1185.303794368617</v>
      </c>
      <c r="D476" s="4">
        <v>554.63741441902619</v>
      </c>
      <c r="E476" s="4">
        <v>3033.019940823845</v>
      </c>
    </row>
    <row r="477" spans="1:5" x14ac:dyDescent="0.35">
      <c r="A477" s="2">
        <v>48</v>
      </c>
      <c r="B477" s="2">
        <v>6</v>
      </c>
      <c r="C477" s="4">
        <v>-3934.8525665822499</v>
      </c>
      <c r="D477" s="4">
        <v>3013.7660783996862</v>
      </c>
      <c r="E477" s="4">
        <v>-236.97860367068071</v>
      </c>
    </row>
    <row r="478" spans="1:5" x14ac:dyDescent="0.35">
      <c r="A478" s="2">
        <v>48</v>
      </c>
      <c r="B478" s="2">
        <v>7</v>
      </c>
      <c r="C478" s="4">
        <v>1236.3072807595829</v>
      </c>
      <c r="D478" s="4">
        <v>-1187.522218636203</v>
      </c>
      <c r="E478" s="4">
        <v>481.2399412795437</v>
      </c>
    </row>
    <row r="479" spans="1:5" x14ac:dyDescent="0.35">
      <c r="A479" s="2">
        <v>48</v>
      </c>
      <c r="B479" s="2">
        <v>8</v>
      </c>
      <c r="C479" s="4">
        <v>-1727.242712522986</v>
      </c>
      <c r="D479" s="4">
        <v>-161.3272079970379</v>
      </c>
      <c r="E479" s="4">
        <v>44.29598543299803</v>
      </c>
    </row>
    <row r="480" spans="1:5" x14ac:dyDescent="0.35">
      <c r="A480" s="2">
        <v>48</v>
      </c>
      <c r="B480" s="2">
        <v>9</v>
      </c>
      <c r="C480" s="4">
        <v>994.13968027997612</v>
      </c>
      <c r="D480" s="4">
        <v>-1154.102349110153</v>
      </c>
      <c r="E480" s="4">
        <v>11.84513017367634</v>
      </c>
    </row>
    <row r="481" spans="1:5" x14ac:dyDescent="0.35">
      <c r="A481" s="2">
        <v>48</v>
      </c>
      <c r="B481" s="2">
        <v>10</v>
      </c>
      <c r="C481" s="4">
        <v>4109.973372901426</v>
      </c>
      <c r="D481" s="4">
        <v>-632.34894542484028</v>
      </c>
      <c r="E481" s="4">
        <v>-451.0727963232743</v>
      </c>
    </row>
    <row r="482" spans="1:5" x14ac:dyDescent="0.35">
      <c r="A482" s="2">
        <v>49</v>
      </c>
      <c r="B482" s="2">
        <v>1</v>
      </c>
      <c r="C482" s="4">
        <v>1260.4951383171219</v>
      </c>
      <c r="D482" s="4">
        <v>-1889.410947115859</v>
      </c>
      <c r="E482" s="4">
        <v>286.32826048664612</v>
      </c>
    </row>
    <row r="483" spans="1:5" x14ac:dyDescent="0.35">
      <c r="A483" s="2">
        <v>49</v>
      </c>
      <c r="B483" s="2">
        <v>2</v>
      </c>
      <c r="C483" s="4">
        <v>-250.15514009639429</v>
      </c>
      <c r="D483" s="4">
        <v>-292.71752391082867</v>
      </c>
      <c r="E483" s="4">
        <v>-558.37628767277238</v>
      </c>
    </row>
    <row r="484" spans="1:5" x14ac:dyDescent="0.35">
      <c r="A484" s="2">
        <v>49</v>
      </c>
      <c r="B484" s="2">
        <v>3</v>
      </c>
      <c r="C484" s="4">
        <v>537.9783486897112</v>
      </c>
      <c r="D484" s="4">
        <v>2773.616452704659</v>
      </c>
      <c r="E484" s="4">
        <v>4063.7340070824789</v>
      </c>
    </row>
    <row r="485" spans="1:5" x14ac:dyDescent="0.35">
      <c r="A485" s="2">
        <v>49</v>
      </c>
      <c r="B485" s="2">
        <v>4</v>
      </c>
      <c r="C485" s="4">
        <v>-1048.335926873739</v>
      </c>
      <c r="D485" s="4">
        <v>2931.959137152307</v>
      </c>
      <c r="E485" s="4">
        <v>-2747.718136944075</v>
      </c>
    </row>
    <row r="486" spans="1:5" x14ac:dyDescent="0.35">
      <c r="A486" s="2">
        <v>49</v>
      </c>
      <c r="B486" s="2">
        <v>5</v>
      </c>
      <c r="C486" s="4">
        <v>-2413.1706047353032</v>
      </c>
      <c r="D486" s="4">
        <v>-2777.5707751708101</v>
      </c>
      <c r="E486" s="4">
        <v>461.03882252375058</v>
      </c>
    </row>
    <row r="487" spans="1:5" x14ac:dyDescent="0.35">
      <c r="A487" s="2">
        <v>49</v>
      </c>
      <c r="B487" s="2">
        <v>6</v>
      </c>
      <c r="C487" s="4">
        <v>6442.3099201902214</v>
      </c>
      <c r="D487" s="4">
        <v>-912.64480921018082</v>
      </c>
      <c r="E487" s="4">
        <v>-173.35271626747121</v>
      </c>
    </row>
    <row r="488" spans="1:5" x14ac:dyDescent="0.35">
      <c r="A488" s="2">
        <v>49</v>
      </c>
      <c r="B488" s="2">
        <v>7</v>
      </c>
      <c r="C488" s="4">
        <v>-3819.893938158827</v>
      </c>
      <c r="D488" s="4">
        <v>-1343.352481119716</v>
      </c>
      <c r="E488" s="4">
        <v>-60.144318160172332</v>
      </c>
    </row>
    <row r="489" spans="1:5" x14ac:dyDescent="0.35">
      <c r="A489" s="2">
        <v>49</v>
      </c>
      <c r="B489" s="2">
        <v>8</v>
      </c>
      <c r="C489" s="4">
        <v>-150.42581042833689</v>
      </c>
      <c r="D489" s="4">
        <v>-1152.4164794781141</v>
      </c>
      <c r="E489" s="4">
        <v>92.81444168739641</v>
      </c>
    </row>
    <row r="490" spans="1:5" x14ac:dyDescent="0.35">
      <c r="A490" s="2">
        <v>49</v>
      </c>
      <c r="B490" s="2">
        <v>9</v>
      </c>
      <c r="C490" s="4">
        <v>-5084.8111833366238</v>
      </c>
      <c r="D490" s="4">
        <v>1486.740560443619</v>
      </c>
      <c r="E490" s="4">
        <v>-272.7330858713517</v>
      </c>
    </row>
    <row r="491" spans="1:5" x14ac:dyDescent="0.35">
      <c r="A491" s="2">
        <v>49</v>
      </c>
      <c r="B491" s="2">
        <v>10</v>
      </c>
      <c r="C491" s="4">
        <v>4526.0091964313251</v>
      </c>
      <c r="D491" s="4">
        <v>1175.796865705081</v>
      </c>
      <c r="E491" s="4">
        <v>-1091.5909868649001</v>
      </c>
    </row>
    <row r="492" spans="1:5" x14ac:dyDescent="0.35">
      <c r="A492" s="2">
        <v>50</v>
      </c>
      <c r="B492" s="2">
        <v>1</v>
      </c>
      <c r="C492" s="4">
        <v>14500.25302491466</v>
      </c>
      <c r="D492" s="4">
        <v>-3267.1617466909679</v>
      </c>
      <c r="E492" s="4">
        <v>-2952.733552918894</v>
      </c>
    </row>
    <row r="493" spans="1:5" x14ac:dyDescent="0.35">
      <c r="A493" s="2">
        <v>50</v>
      </c>
      <c r="B493" s="2">
        <v>2</v>
      </c>
      <c r="C493" s="4">
        <v>2793.0634124072249</v>
      </c>
      <c r="D493" s="4">
        <v>11818.69369405959</v>
      </c>
      <c r="E493" s="4">
        <v>-1862.285208123873</v>
      </c>
    </row>
    <row r="494" spans="1:5" x14ac:dyDescent="0.35">
      <c r="A494" s="2">
        <v>50</v>
      </c>
      <c r="B494" s="2">
        <v>3</v>
      </c>
      <c r="C494" s="4">
        <v>-3278.7236188566499</v>
      </c>
      <c r="D494" s="4">
        <v>4588.4929349380373</v>
      </c>
      <c r="E494" s="4">
        <v>1430.4113922709071</v>
      </c>
    </row>
    <row r="495" spans="1:5" x14ac:dyDescent="0.35">
      <c r="A495" s="2">
        <v>50</v>
      </c>
      <c r="B495" s="2">
        <v>4</v>
      </c>
      <c r="C495" s="4">
        <v>-2999.5378156877618</v>
      </c>
      <c r="D495" s="4">
        <v>-3891.430265947386</v>
      </c>
      <c r="E495" s="4">
        <v>-683.08970404969887</v>
      </c>
    </row>
    <row r="496" spans="1:5" x14ac:dyDescent="0.35">
      <c r="A496" s="2">
        <v>50</v>
      </c>
      <c r="B496" s="2">
        <v>5</v>
      </c>
      <c r="C496" s="4">
        <v>-5524.2174622295752</v>
      </c>
      <c r="D496" s="4">
        <v>275.54146085479471</v>
      </c>
      <c r="E496" s="4">
        <v>-2054.022302211828</v>
      </c>
    </row>
    <row r="497" spans="1:5" x14ac:dyDescent="0.35">
      <c r="A497" s="2">
        <v>50</v>
      </c>
      <c r="B497" s="2">
        <v>6</v>
      </c>
      <c r="C497" s="4">
        <v>-831.08075925501646</v>
      </c>
      <c r="D497" s="4">
        <v>-7844.1663995685631</v>
      </c>
      <c r="E497" s="4">
        <v>621.73313772654433</v>
      </c>
    </row>
    <row r="498" spans="1:5" x14ac:dyDescent="0.35">
      <c r="A498" s="2">
        <v>50</v>
      </c>
      <c r="B498" s="2">
        <v>7</v>
      </c>
      <c r="C498" s="4">
        <v>-3813.1320209130522</v>
      </c>
      <c r="D498" s="4">
        <v>-2212.6927467049268</v>
      </c>
      <c r="E498" s="4">
        <v>-1324.195633340307</v>
      </c>
    </row>
    <row r="499" spans="1:5" x14ac:dyDescent="0.35">
      <c r="A499" s="2">
        <v>50</v>
      </c>
      <c r="B499" s="2">
        <v>8</v>
      </c>
      <c r="C499" s="4">
        <v>-4659.2989472873787</v>
      </c>
      <c r="D499" s="4">
        <v>-855.48491064605241</v>
      </c>
      <c r="E499" s="4">
        <v>-1137.5209583845401</v>
      </c>
    </row>
    <row r="500" spans="1:5" x14ac:dyDescent="0.35">
      <c r="A500" s="2">
        <v>50</v>
      </c>
      <c r="B500" s="2">
        <v>9</v>
      </c>
      <c r="C500" s="4">
        <v>-2533.344494935071</v>
      </c>
      <c r="D500" s="4">
        <v>956.55611201106171</v>
      </c>
      <c r="E500" s="4">
        <v>2370.3072328187409</v>
      </c>
    </row>
    <row r="501" spans="1:5" x14ac:dyDescent="0.35">
      <c r="A501" s="2">
        <v>50</v>
      </c>
      <c r="B501" s="2">
        <v>10</v>
      </c>
      <c r="C501" s="4">
        <v>6346.0186818437123</v>
      </c>
      <c r="D501" s="4">
        <v>431.65186769455107</v>
      </c>
      <c r="E501" s="4">
        <v>5591.3955962129676</v>
      </c>
    </row>
    <row r="502" spans="1:5" x14ac:dyDescent="0.35">
      <c r="A502" s="2">
        <v>51</v>
      </c>
      <c r="B502" s="2">
        <v>1</v>
      </c>
      <c r="C502" s="4">
        <v>-6289.4574264714129</v>
      </c>
      <c r="D502" s="4">
        <v>7508.973147345182</v>
      </c>
      <c r="E502" s="4">
        <v>5739.3869184432542</v>
      </c>
    </row>
    <row r="503" spans="1:5" x14ac:dyDescent="0.35">
      <c r="A503" s="2">
        <v>51</v>
      </c>
      <c r="B503" s="2">
        <v>2</v>
      </c>
      <c r="C503" s="4">
        <v>-1503.049933870371</v>
      </c>
      <c r="D503" s="4">
        <v>6740.5779353423031</v>
      </c>
      <c r="E503" s="4">
        <v>-2383.317134636226</v>
      </c>
    </row>
    <row r="504" spans="1:5" x14ac:dyDescent="0.35">
      <c r="A504" s="2">
        <v>51</v>
      </c>
      <c r="B504" s="2">
        <v>3</v>
      </c>
      <c r="C504" s="4">
        <v>-1191.7061808092119</v>
      </c>
      <c r="D504" s="4">
        <v>264.85488359704999</v>
      </c>
      <c r="E504" s="4">
        <v>-3688.1095054379548</v>
      </c>
    </row>
    <row r="505" spans="1:5" x14ac:dyDescent="0.35">
      <c r="A505" s="2">
        <v>51</v>
      </c>
      <c r="B505" s="2">
        <v>4</v>
      </c>
      <c r="C505" s="4">
        <v>4142.041556579542</v>
      </c>
      <c r="D505" s="4">
        <v>-2468.4593202477358</v>
      </c>
      <c r="E505" s="4">
        <v>1421.998770065549</v>
      </c>
    </row>
    <row r="506" spans="1:5" x14ac:dyDescent="0.35">
      <c r="A506" s="2">
        <v>51</v>
      </c>
      <c r="B506" s="2">
        <v>5</v>
      </c>
      <c r="C506" s="4">
        <v>10515.419255124039</v>
      </c>
      <c r="D506" s="4">
        <v>1923.3043688186301</v>
      </c>
      <c r="E506" s="4">
        <v>-59.141581326936617</v>
      </c>
    </row>
    <row r="507" spans="1:5" x14ac:dyDescent="0.35">
      <c r="A507" s="2">
        <v>51</v>
      </c>
      <c r="B507" s="2">
        <v>6</v>
      </c>
      <c r="C507" s="4">
        <v>109.242988869355</v>
      </c>
      <c r="D507" s="4">
        <v>-5260.6625912039153</v>
      </c>
      <c r="E507" s="4">
        <v>2314.6546948502892</v>
      </c>
    </row>
    <row r="508" spans="1:5" x14ac:dyDescent="0.35">
      <c r="A508" s="2">
        <v>51</v>
      </c>
      <c r="B508" s="2">
        <v>7</v>
      </c>
      <c r="C508" s="4">
        <v>8287.2897494658482</v>
      </c>
      <c r="D508" s="4">
        <v>321.57929933896008</v>
      </c>
      <c r="E508" s="4">
        <v>281.07419508630551</v>
      </c>
    </row>
    <row r="509" spans="1:5" x14ac:dyDescent="0.35">
      <c r="A509" s="2">
        <v>51</v>
      </c>
      <c r="B509" s="2">
        <v>8</v>
      </c>
      <c r="C509" s="4">
        <v>-3417.736852241233</v>
      </c>
      <c r="D509" s="4">
        <v>-6362.3470067743647</v>
      </c>
      <c r="E509" s="4">
        <v>1914.0282213960161</v>
      </c>
    </row>
    <row r="510" spans="1:5" x14ac:dyDescent="0.35">
      <c r="A510" s="2">
        <v>51</v>
      </c>
      <c r="B510" s="2">
        <v>9</v>
      </c>
      <c r="C510" s="4">
        <v>-6854.7918079367928</v>
      </c>
      <c r="D510" s="4">
        <v>-4483.664845143272</v>
      </c>
      <c r="E510" s="4">
        <v>-1888.004469253056</v>
      </c>
    </row>
    <row r="511" spans="1:5" x14ac:dyDescent="0.35">
      <c r="A511" s="2">
        <v>51</v>
      </c>
      <c r="B511" s="2">
        <v>10</v>
      </c>
      <c r="C511" s="4">
        <v>-3797.2513487111369</v>
      </c>
      <c r="D511" s="4">
        <v>1815.8441289266659</v>
      </c>
      <c r="E511" s="4">
        <v>-3652.570109186729</v>
      </c>
    </row>
    <row r="512" spans="1:5" x14ac:dyDescent="0.35">
      <c r="A512" s="2">
        <v>52</v>
      </c>
      <c r="B512" s="2">
        <v>1</v>
      </c>
      <c r="C512" s="4">
        <v>10011.524873681319</v>
      </c>
      <c r="D512" s="4">
        <v>1393.1086881866579</v>
      </c>
      <c r="E512" s="4">
        <v>3963.1847089292528</v>
      </c>
    </row>
    <row r="513" spans="1:5" x14ac:dyDescent="0.35">
      <c r="A513" s="2">
        <v>52</v>
      </c>
      <c r="B513" s="2">
        <v>2</v>
      </c>
      <c r="C513" s="4">
        <v>6386.1480643522164</v>
      </c>
      <c r="D513" s="4">
        <v>1782.9799257271541</v>
      </c>
      <c r="E513" s="4">
        <v>-3866.558563323847</v>
      </c>
    </row>
    <row r="514" spans="1:5" x14ac:dyDescent="0.35">
      <c r="A514" s="2">
        <v>52</v>
      </c>
      <c r="B514" s="2">
        <v>3</v>
      </c>
      <c r="C514" s="4">
        <v>-760.59914347797599</v>
      </c>
      <c r="D514" s="4">
        <v>-1051.503209549378</v>
      </c>
      <c r="E514" s="4">
        <v>-2628.766075540826</v>
      </c>
    </row>
    <row r="515" spans="1:5" x14ac:dyDescent="0.35">
      <c r="A515" s="2">
        <v>52</v>
      </c>
      <c r="B515" s="2">
        <v>4</v>
      </c>
      <c r="C515" s="4">
        <v>-3359.6141367194718</v>
      </c>
      <c r="D515" s="4">
        <v>-2471.5041468627001</v>
      </c>
      <c r="E515" s="4">
        <v>2305.5285080591111</v>
      </c>
    </row>
    <row r="516" spans="1:5" x14ac:dyDescent="0.35">
      <c r="A516" s="2">
        <v>52</v>
      </c>
      <c r="B516" s="2">
        <v>5</v>
      </c>
      <c r="C516" s="4">
        <v>-3013.575262543548</v>
      </c>
      <c r="D516" s="4">
        <v>6324.8039980381391</v>
      </c>
      <c r="E516" s="4">
        <v>-579.24765949614562</v>
      </c>
    </row>
    <row r="517" spans="1:5" x14ac:dyDescent="0.35">
      <c r="A517" s="2">
        <v>52</v>
      </c>
      <c r="B517" s="2">
        <v>6</v>
      </c>
      <c r="C517" s="4">
        <v>-3565.344306224285</v>
      </c>
      <c r="D517" s="4">
        <v>4515.1703801636259</v>
      </c>
      <c r="E517" s="4">
        <v>262.23776676584322</v>
      </c>
    </row>
    <row r="518" spans="1:5" x14ac:dyDescent="0.35">
      <c r="A518" s="2">
        <v>52</v>
      </c>
      <c r="B518" s="2">
        <v>7</v>
      </c>
      <c r="C518" s="4">
        <v>-3912.5648532396658</v>
      </c>
      <c r="D518" s="4">
        <v>1182.761223532259</v>
      </c>
      <c r="E518" s="4">
        <v>2086.3562826314528</v>
      </c>
    </row>
    <row r="519" spans="1:5" x14ac:dyDescent="0.35">
      <c r="A519" s="2">
        <v>52</v>
      </c>
      <c r="B519" s="2">
        <v>8</v>
      </c>
      <c r="C519" s="4">
        <v>-2496.9127353120361</v>
      </c>
      <c r="D519" s="4">
        <v>-4272.630863471747</v>
      </c>
      <c r="E519" s="4">
        <v>942.51579979880671</v>
      </c>
    </row>
    <row r="520" spans="1:5" x14ac:dyDescent="0.35">
      <c r="A520" s="2">
        <v>52</v>
      </c>
      <c r="B520" s="2">
        <v>9</v>
      </c>
      <c r="C520" s="4">
        <v>-1102.435002672406</v>
      </c>
      <c r="D520" s="4">
        <v>-2779.9498271032949</v>
      </c>
      <c r="E520" s="4">
        <v>-1705.727489877009</v>
      </c>
    </row>
    <row r="521" spans="1:5" x14ac:dyDescent="0.35">
      <c r="A521" s="2">
        <v>52</v>
      </c>
      <c r="B521" s="2">
        <v>10</v>
      </c>
      <c r="C521" s="4">
        <v>1813.3725021544999</v>
      </c>
      <c r="D521" s="4">
        <v>-4623.2361686595268</v>
      </c>
      <c r="E521" s="4">
        <v>-779.52327794675057</v>
      </c>
    </row>
    <row r="522" spans="1:5" x14ac:dyDescent="0.35">
      <c r="A522" s="2">
        <v>53</v>
      </c>
      <c r="B522" s="2">
        <v>1</v>
      </c>
      <c r="C522" s="4">
        <v>9430.874178762504</v>
      </c>
      <c r="D522" s="4">
        <v>2971.5627560763551</v>
      </c>
      <c r="E522" s="4">
        <v>-3554.6112565577059</v>
      </c>
    </row>
    <row r="523" spans="1:5" x14ac:dyDescent="0.35">
      <c r="A523" s="2">
        <v>53</v>
      </c>
      <c r="B523" s="2">
        <v>2</v>
      </c>
      <c r="C523" s="4">
        <v>6374.4462735200441</v>
      </c>
      <c r="D523" s="4">
        <v>-1691.96515331761</v>
      </c>
      <c r="E523" s="4">
        <v>3483.769162526542</v>
      </c>
    </row>
    <row r="524" spans="1:5" x14ac:dyDescent="0.35">
      <c r="A524" s="2">
        <v>53</v>
      </c>
      <c r="B524" s="2">
        <v>3</v>
      </c>
      <c r="C524" s="4">
        <v>-2189.9039931773659</v>
      </c>
      <c r="D524" s="4">
        <v>-331.39598116679258</v>
      </c>
      <c r="E524" s="4">
        <v>-820.58457197177381</v>
      </c>
    </row>
    <row r="525" spans="1:5" x14ac:dyDescent="0.35">
      <c r="A525" s="2">
        <v>53</v>
      </c>
      <c r="B525" s="2">
        <v>4</v>
      </c>
      <c r="C525" s="4">
        <v>-2081.8502406664538</v>
      </c>
      <c r="D525" s="4">
        <v>-2876.5821194750779</v>
      </c>
      <c r="E525" s="4">
        <v>-548.26152924738381</v>
      </c>
    </row>
    <row r="526" spans="1:5" x14ac:dyDescent="0.35">
      <c r="A526" s="2">
        <v>53</v>
      </c>
      <c r="B526" s="2">
        <v>5</v>
      </c>
      <c r="C526" s="4">
        <v>-3108.157633131771</v>
      </c>
      <c r="D526" s="4">
        <v>4327.8768823240016</v>
      </c>
      <c r="E526" s="4">
        <v>-339.33164444286137</v>
      </c>
    </row>
    <row r="527" spans="1:5" x14ac:dyDescent="0.35">
      <c r="A527" s="2">
        <v>53</v>
      </c>
      <c r="B527" s="2">
        <v>6</v>
      </c>
      <c r="C527" s="4">
        <v>-2981.4979854518901</v>
      </c>
      <c r="D527" s="4">
        <v>-240.29062938261029</v>
      </c>
      <c r="E527" s="4">
        <v>-301.65960225011548</v>
      </c>
    </row>
    <row r="528" spans="1:5" x14ac:dyDescent="0.35">
      <c r="A528" s="2">
        <v>53</v>
      </c>
      <c r="B528" s="2">
        <v>7</v>
      </c>
      <c r="C528" s="4">
        <v>-3733.6253965367459</v>
      </c>
      <c r="D528" s="4">
        <v>7558.0056619332863</v>
      </c>
      <c r="E528" s="4">
        <v>-77.945823043559614</v>
      </c>
    </row>
    <row r="529" spans="1:5" x14ac:dyDescent="0.35">
      <c r="A529" s="2">
        <v>53</v>
      </c>
      <c r="B529" s="2">
        <v>8</v>
      </c>
      <c r="C529" s="4">
        <v>-1660.0511821289499</v>
      </c>
      <c r="D529" s="4">
        <v>-4420.7564627892089</v>
      </c>
      <c r="E529" s="4">
        <v>-891.34836703039207</v>
      </c>
    </row>
    <row r="530" spans="1:5" x14ac:dyDescent="0.35">
      <c r="A530" s="2">
        <v>53</v>
      </c>
      <c r="B530" s="2">
        <v>9</v>
      </c>
      <c r="C530" s="4">
        <v>-1067.700904979848</v>
      </c>
      <c r="D530" s="4">
        <v>-7218.0823874722719</v>
      </c>
      <c r="E530" s="4">
        <v>-743.12821292826072</v>
      </c>
    </row>
    <row r="531" spans="1:5" x14ac:dyDescent="0.35">
      <c r="A531" s="2">
        <v>53</v>
      </c>
      <c r="B531" s="2">
        <v>10</v>
      </c>
      <c r="C531" s="4">
        <v>1017.466883790991</v>
      </c>
      <c r="D531" s="4">
        <v>1921.6274332704691</v>
      </c>
      <c r="E531" s="4">
        <v>3793.101844946028</v>
      </c>
    </row>
    <row r="532" spans="1:5" x14ac:dyDescent="0.35">
      <c r="A532" s="2">
        <v>54</v>
      </c>
      <c r="B532" s="2">
        <v>1</v>
      </c>
      <c r="C532" s="4">
        <v>10315.34913327665</v>
      </c>
      <c r="D532" s="4">
        <v>71.309188508152658</v>
      </c>
      <c r="E532" s="4">
        <v>-3462.516981641922</v>
      </c>
    </row>
    <row r="533" spans="1:5" x14ac:dyDescent="0.35">
      <c r="A533" s="2">
        <v>54</v>
      </c>
      <c r="B533" s="2">
        <v>2</v>
      </c>
      <c r="C533" s="4">
        <v>9039.1029027899294</v>
      </c>
      <c r="D533" s="4">
        <v>-514.16885646695619</v>
      </c>
      <c r="E533" s="4">
        <v>4924.3508282861312</v>
      </c>
    </row>
    <row r="534" spans="1:5" x14ac:dyDescent="0.35">
      <c r="A534" s="2">
        <v>54</v>
      </c>
      <c r="B534" s="2">
        <v>3</v>
      </c>
      <c r="C534" s="4">
        <v>-2641.286922508421</v>
      </c>
      <c r="D534" s="4">
        <v>2984.9238441480279</v>
      </c>
      <c r="E534" s="4">
        <v>-1292.9254094511739</v>
      </c>
    </row>
    <row r="535" spans="1:5" x14ac:dyDescent="0.35">
      <c r="A535" s="2">
        <v>54</v>
      </c>
      <c r="B535" s="2">
        <v>4</v>
      </c>
      <c r="C535" s="4">
        <v>-3871.7085606913179</v>
      </c>
      <c r="D535" s="4">
        <v>74.638472528437831</v>
      </c>
      <c r="E535" s="4">
        <v>1026.9514840239369</v>
      </c>
    </row>
    <row r="536" spans="1:5" x14ac:dyDescent="0.35">
      <c r="A536" s="2">
        <v>54</v>
      </c>
      <c r="B536" s="2">
        <v>5</v>
      </c>
      <c r="C536" s="4">
        <v>-2339.3348794759499</v>
      </c>
      <c r="D536" s="4">
        <v>-2844.8297827699098</v>
      </c>
      <c r="E536" s="4">
        <v>213.2543425256016</v>
      </c>
    </row>
    <row r="537" spans="1:5" x14ac:dyDescent="0.35">
      <c r="A537" s="2">
        <v>54</v>
      </c>
      <c r="B537" s="2">
        <v>6</v>
      </c>
      <c r="C537" s="4">
        <v>-4508.6116566443879</v>
      </c>
      <c r="D537" s="4">
        <v>1114.580059019469</v>
      </c>
      <c r="E537" s="4">
        <v>1656.278522921144</v>
      </c>
    </row>
    <row r="538" spans="1:5" x14ac:dyDescent="0.35">
      <c r="A538" s="2">
        <v>54</v>
      </c>
      <c r="B538" s="2">
        <v>7</v>
      </c>
      <c r="C538" s="4">
        <v>-3522.735001898659</v>
      </c>
      <c r="D538" s="4">
        <v>-279.48766190792281</v>
      </c>
      <c r="E538" s="4">
        <v>723.41835626075908</v>
      </c>
    </row>
    <row r="539" spans="1:5" x14ac:dyDescent="0.35">
      <c r="A539" s="2">
        <v>54</v>
      </c>
      <c r="B539" s="2">
        <v>8</v>
      </c>
      <c r="C539" s="4">
        <v>-2363.230831282196</v>
      </c>
      <c r="D539" s="4">
        <v>-1759.402132538585</v>
      </c>
      <c r="E539" s="4">
        <v>-685.3949016033049</v>
      </c>
    </row>
    <row r="540" spans="1:5" x14ac:dyDescent="0.35">
      <c r="A540" s="2">
        <v>54</v>
      </c>
      <c r="B540" s="2">
        <v>9</v>
      </c>
      <c r="C540" s="4">
        <v>-520.31728167868039</v>
      </c>
      <c r="D540" s="4">
        <v>-5183.9936388732276</v>
      </c>
      <c r="E540" s="4">
        <v>-2081.7801925789809</v>
      </c>
    </row>
    <row r="541" spans="1:5" x14ac:dyDescent="0.35">
      <c r="A541" s="2">
        <v>54</v>
      </c>
      <c r="B541" s="2">
        <v>10</v>
      </c>
      <c r="C541" s="4">
        <v>412.77309811346731</v>
      </c>
      <c r="D541" s="4">
        <v>6336.4305083530471</v>
      </c>
      <c r="E541" s="4">
        <v>-1021.6360487422201</v>
      </c>
    </row>
    <row r="542" spans="1:5" x14ac:dyDescent="0.35">
      <c r="A542" s="2">
        <v>55</v>
      </c>
      <c r="B542" s="2">
        <v>1</v>
      </c>
      <c r="C542" s="4">
        <v>10260.25466952161</v>
      </c>
      <c r="D542" s="4">
        <v>-996.83526326111974</v>
      </c>
      <c r="E542" s="4">
        <v>-3525.8357378525161</v>
      </c>
    </row>
    <row r="543" spans="1:5" x14ac:dyDescent="0.35">
      <c r="A543" s="2">
        <v>55</v>
      </c>
      <c r="B543" s="2">
        <v>2</v>
      </c>
      <c r="C543" s="4">
        <v>9900.1441089269756</v>
      </c>
      <c r="D543" s="4">
        <v>4802.6054496012566</v>
      </c>
      <c r="E543" s="4">
        <v>-1235.610555613521</v>
      </c>
    </row>
    <row r="544" spans="1:5" x14ac:dyDescent="0.35">
      <c r="A544" s="2">
        <v>55</v>
      </c>
      <c r="B544" s="2">
        <v>3</v>
      </c>
      <c r="C544" s="4">
        <v>3695.0015912537569</v>
      </c>
      <c r="D544" s="4">
        <v>-1731.7307658455311</v>
      </c>
      <c r="E544" s="4">
        <v>2809.7292311206629</v>
      </c>
    </row>
    <row r="545" spans="1:5" x14ac:dyDescent="0.35">
      <c r="A545" s="2">
        <v>55</v>
      </c>
      <c r="B545" s="2">
        <v>4</v>
      </c>
      <c r="C545" s="4">
        <v>-5205.5100982306494</v>
      </c>
      <c r="D545" s="4">
        <v>2064.843046724226</v>
      </c>
      <c r="E545" s="4">
        <v>-601.55936258107897</v>
      </c>
    </row>
    <row r="546" spans="1:5" x14ac:dyDescent="0.35">
      <c r="A546" s="2">
        <v>55</v>
      </c>
      <c r="B546" s="2">
        <v>5</v>
      </c>
      <c r="C546" s="4">
        <v>-5423.2538761928317</v>
      </c>
      <c r="D546" s="4">
        <v>1805.1585486458821</v>
      </c>
      <c r="E546" s="4">
        <v>-826.07943018569745</v>
      </c>
    </row>
    <row r="547" spans="1:5" x14ac:dyDescent="0.35">
      <c r="A547" s="2">
        <v>55</v>
      </c>
      <c r="B547" s="2">
        <v>6</v>
      </c>
      <c r="C547" s="4">
        <v>-5159.9201638805534</v>
      </c>
      <c r="D547" s="4">
        <v>-6623.8737593741826</v>
      </c>
      <c r="E547" s="4">
        <v>-1374.534395389971</v>
      </c>
    </row>
    <row r="548" spans="1:5" x14ac:dyDescent="0.35">
      <c r="A548" s="2">
        <v>55</v>
      </c>
      <c r="B548" s="2">
        <v>7</v>
      </c>
      <c r="C548" s="4">
        <v>-5061.1820310482644</v>
      </c>
      <c r="D548" s="4">
        <v>-4664.2869278349726</v>
      </c>
      <c r="E548" s="4">
        <v>-1202.208342394483</v>
      </c>
    </row>
    <row r="549" spans="1:5" x14ac:dyDescent="0.35">
      <c r="A549" s="2">
        <v>55</v>
      </c>
      <c r="B549" s="2">
        <v>8</v>
      </c>
      <c r="C549" s="4">
        <v>-4433.6355664301109</v>
      </c>
      <c r="D549" s="4">
        <v>1647.4925383134721</v>
      </c>
      <c r="E549" s="4">
        <v>339.88578300088483</v>
      </c>
    </row>
    <row r="550" spans="1:5" x14ac:dyDescent="0.35">
      <c r="A550" s="2">
        <v>55</v>
      </c>
      <c r="B550" s="2">
        <v>9</v>
      </c>
      <c r="C550" s="4">
        <v>-4756.2993655635009</v>
      </c>
      <c r="D550" s="4">
        <v>7652.5328609711933</v>
      </c>
      <c r="E550" s="4">
        <v>1461.3127503126841</v>
      </c>
    </row>
    <row r="551" spans="1:5" x14ac:dyDescent="0.35">
      <c r="A551" s="2">
        <v>55</v>
      </c>
      <c r="B551" s="2">
        <v>10</v>
      </c>
      <c r="C551" s="4">
        <v>6184.4007316424722</v>
      </c>
      <c r="D551" s="4">
        <v>-3955.9057279396479</v>
      </c>
      <c r="E551" s="4">
        <v>4154.9000595829593</v>
      </c>
    </row>
    <row r="552" spans="1:5" x14ac:dyDescent="0.35">
      <c r="A552" s="2">
        <v>56</v>
      </c>
      <c r="B552" s="2">
        <v>1</v>
      </c>
      <c r="C552" s="4">
        <v>10704.65115875107</v>
      </c>
      <c r="D552" s="4">
        <v>-1511.561584499221</v>
      </c>
      <c r="E552" s="4">
        <v>-1604.586210359493</v>
      </c>
    </row>
    <row r="553" spans="1:5" x14ac:dyDescent="0.35">
      <c r="A553" s="2">
        <v>56</v>
      </c>
      <c r="B553" s="2">
        <v>2</v>
      </c>
      <c r="C553" s="4">
        <v>648.23154072101147</v>
      </c>
      <c r="D553" s="4">
        <v>-580.91071691464606</v>
      </c>
      <c r="E553" s="4">
        <v>4173.0921333045553</v>
      </c>
    </row>
    <row r="554" spans="1:5" x14ac:dyDescent="0.35">
      <c r="A554" s="2">
        <v>56</v>
      </c>
      <c r="B554" s="2">
        <v>3</v>
      </c>
      <c r="C554" s="4">
        <v>-1302.424499291265</v>
      </c>
      <c r="D554" s="4">
        <v>709.00093190100745</v>
      </c>
      <c r="E554" s="4">
        <v>81.569274130274962</v>
      </c>
    </row>
    <row r="555" spans="1:5" x14ac:dyDescent="0.35">
      <c r="A555" s="2">
        <v>56</v>
      </c>
      <c r="B555" s="2">
        <v>4</v>
      </c>
      <c r="C555" s="4">
        <v>-2223.22258480439</v>
      </c>
      <c r="D555" s="4">
        <v>-2922.8716018804412</v>
      </c>
      <c r="E555" s="4">
        <v>-373.87694779739508</v>
      </c>
    </row>
    <row r="556" spans="1:5" x14ac:dyDescent="0.35">
      <c r="A556" s="2">
        <v>56</v>
      </c>
      <c r="B556" s="2">
        <v>5</v>
      </c>
      <c r="C556" s="4">
        <v>-1544.2936705352629</v>
      </c>
      <c r="D556" s="4">
        <v>3986.6207155259121</v>
      </c>
      <c r="E556" s="4">
        <v>-2266.283645217663</v>
      </c>
    </row>
    <row r="557" spans="1:5" x14ac:dyDescent="0.35">
      <c r="A557" s="2">
        <v>56</v>
      </c>
      <c r="B557" s="2">
        <v>6</v>
      </c>
      <c r="C557" s="4">
        <v>-1917.689849166683</v>
      </c>
      <c r="D557" s="4">
        <v>-414.39005047359927</v>
      </c>
      <c r="E557" s="4">
        <v>-1383.8186786069871</v>
      </c>
    </row>
    <row r="558" spans="1:5" x14ac:dyDescent="0.35">
      <c r="A558" s="2">
        <v>56</v>
      </c>
      <c r="B558" s="2">
        <v>7</v>
      </c>
      <c r="C558" s="4">
        <v>-2132.9580041711129</v>
      </c>
      <c r="D558" s="4">
        <v>-1391.955322315873</v>
      </c>
      <c r="E558" s="4">
        <v>-1536.1978560347241</v>
      </c>
    </row>
    <row r="559" spans="1:5" x14ac:dyDescent="0.35">
      <c r="A559" s="2">
        <v>56</v>
      </c>
      <c r="B559" s="2">
        <v>8</v>
      </c>
      <c r="C559" s="4">
        <v>-2740.5725589196868</v>
      </c>
      <c r="D559" s="4">
        <v>-5432.7441798456148</v>
      </c>
      <c r="E559" s="4">
        <v>-118.9650521824677</v>
      </c>
    </row>
    <row r="560" spans="1:5" x14ac:dyDescent="0.35">
      <c r="A560" s="2">
        <v>56</v>
      </c>
      <c r="B560" s="2">
        <v>9</v>
      </c>
      <c r="C560" s="4">
        <v>-639.60779283022782</v>
      </c>
      <c r="D560" s="4">
        <v>5700.7721955090192</v>
      </c>
      <c r="E560" s="4">
        <v>-287.09862020096853</v>
      </c>
    </row>
    <row r="561" spans="1:5" x14ac:dyDescent="0.35">
      <c r="A561" s="2">
        <v>56</v>
      </c>
      <c r="B561" s="2">
        <v>10</v>
      </c>
      <c r="C561" s="4">
        <v>1147.8862602452141</v>
      </c>
      <c r="D561" s="4">
        <v>1858.03961299348</v>
      </c>
      <c r="E561" s="4">
        <v>3316.1656029654791</v>
      </c>
    </row>
    <row r="562" spans="1:5" x14ac:dyDescent="0.35">
      <c r="A562" s="2">
        <v>57</v>
      </c>
      <c r="B562" s="2">
        <v>1</v>
      </c>
      <c r="C562" s="4">
        <v>11673.654497915801</v>
      </c>
      <c r="D562" s="4">
        <v>-1885.223793830686</v>
      </c>
      <c r="E562" s="4">
        <v>-1871.3386543264919</v>
      </c>
    </row>
    <row r="563" spans="1:5" x14ac:dyDescent="0.35">
      <c r="A563" s="2">
        <v>57</v>
      </c>
      <c r="B563" s="2">
        <v>2</v>
      </c>
      <c r="C563" s="4">
        <v>88.751938378612067</v>
      </c>
      <c r="D563" s="4">
        <v>10203.474769970569</v>
      </c>
      <c r="E563" s="4">
        <v>-1693.2743343137031</v>
      </c>
    </row>
    <row r="564" spans="1:5" x14ac:dyDescent="0.35">
      <c r="A564" s="2">
        <v>57</v>
      </c>
      <c r="B564" s="2">
        <v>3</v>
      </c>
      <c r="C564" s="4">
        <v>3164.083805731213</v>
      </c>
      <c r="D564" s="4">
        <v>5936.6712172220887</v>
      </c>
      <c r="E564" s="4">
        <v>2285.6203075351659</v>
      </c>
    </row>
    <row r="565" spans="1:5" x14ac:dyDescent="0.35">
      <c r="A565" s="2">
        <v>57</v>
      </c>
      <c r="B565" s="2">
        <v>4</v>
      </c>
      <c r="C565" s="4">
        <v>-8022.7752719115406</v>
      </c>
      <c r="D565" s="4">
        <v>2687.2042239910079</v>
      </c>
      <c r="E565" s="4">
        <v>1297.230960281403</v>
      </c>
    </row>
    <row r="566" spans="1:5" x14ac:dyDescent="0.35">
      <c r="A566" s="2">
        <v>57</v>
      </c>
      <c r="B566" s="2">
        <v>5</v>
      </c>
      <c r="C566" s="4">
        <v>-4363.3457324385327</v>
      </c>
      <c r="D566" s="4">
        <v>-4455.8724886430073</v>
      </c>
      <c r="E566" s="4">
        <v>-1277.196789064405</v>
      </c>
    </row>
    <row r="567" spans="1:5" x14ac:dyDescent="0.35">
      <c r="A567" s="2">
        <v>57</v>
      </c>
      <c r="B567" s="2">
        <v>6</v>
      </c>
      <c r="C567" s="4">
        <v>-6101.2864851290733</v>
      </c>
      <c r="D567" s="4">
        <v>-2110.1280832952662</v>
      </c>
      <c r="E567" s="4">
        <v>-1095.3135644025781</v>
      </c>
    </row>
    <row r="568" spans="1:5" x14ac:dyDescent="0.35">
      <c r="A568" s="2">
        <v>57</v>
      </c>
      <c r="B568" s="2">
        <v>7</v>
      </c>
      <c r="C568" s="4">
        <v>-738.69944156724262</v>
      </c>
      <c r="D568" s="4">
        <v>-9119.8297313022595</v>
      </c>
      <c r="E568" s="4">
        <v>-1638.275176611799</v>
      </c>
    </row>
    <row r="569" spans="1:5" x14ac:dyDescent="0.35">
      <c r="A569" s="2">
        <v>57</v>
      </c>
      <c r="B569" s="2">
        <v>8</v>
      </c>
      <c r="C569" s="4">
        <v>-8010.7001150420574</v>
      </c>
      <c r="D569" s="4">
        <v>1277.8815108089809</v>
      </c>
      <c r="E569" s="4">
        <v>45.632250836907971</v>
      </c>
    </row>
    <row r="570" spans="1:5" x14ac:dyDescent="0.35">
      <c r="A570" s="2">
        <v>57</v>
      </c>
      <c r="B570" s="2">
        <v>9</v>
      </c>
      <c r="C570" s="4">
        <v>4406.6852458219018</v>
      </c>
      <c r="D570" s="4">
        <v>-4314.8200089931815</v>
      </c>
      <c r="E570" s="4">
        <v>5468.8117527905206</v>
      </c>
    </row>
    <row r="571" spans="1:5" x14ac:dyDescent="0.35">
      <c r="A571" s="2">
        <v>57</v>
      </c>
      <c r="B571" s="2">
        <v>10</v>
      </c>
      <c r="C571" s="4">
        <v>7903.631558241249</v>
      </c>
      <c r="D571" s="4">
        <v>1780.6423840712951</v>
      </c>
      <c r="E571" s="4">
        <v>-1521.8967527251059</v>
      </c>
    </row>
    <row r="572" spans="1:5" x14ac:dyDescent="0.35">
      <c r="A572" s="2">
        <v>58</v>
      </c>
      <c r="B572" s="2">
        <v>1</v>
      </c>
      <c r="C572" s="4">
        <v>8310.5242211108762</v>
      </c>
      <c r="D572" s="4">
        <v>9194.3260160326518</v>
      </c>
      <c r="E572" s="4">
        <v>-659.41516700979446</v>
      </c>
    </row>
    <row r="573" spans="1:5" x14ac:dyDescent="0.35">
      <c r="A573" s="2">
        <v>58</v>
      </c>
      <c r="B573" s="2">
        <v>2</v>
      </c>
      <c r="C573" s="4">
        <v>-7992.6298940919951</v>
      </c>
      <c r="D573" s="4">
        <v>1498.254914328058</v>
      </c>
      <c r="E573" s="4">
        <v>-3310.412796493054</v>
      </c>
    </row>
    <row r="574" spans="1:5" x14ac:dyDescent="0.35">
      <c r="A574" s="2">
        <v>58</v>
      </c>
      <c r="B574" s="2">
        <v>3</v>
      </c>
      <c r="C574" s="4">
        <v>-2338.8802272972521</v>
      </c>
      <c r="D574" s="4">
        <v>2726.9342649511991</v>
      </c>
      <c r="E574" s="4">
        <v>2649.2179959521468</v>
      </c>
    </row>
    <row r="575" spans="1:5" x14ac:dyDescent="0.35">
      <c r="A575" s="2">
        <v>58</v>
      </c>
      <c r="B575" s="2">
        <v>4</v>
      </c>
      <c r="C575" s="4">
        <v>-2287.8562677952841</v>
      </c>
      <c r="D575" s="4">
        <v>702.0215829828486</v>
      </c>
      <c r="E575" s="4">
        <v>1476.483530080423</v>
      </c>
    </row>
    <row r="576" spans="1:5" x14ac:dyDescent="0.35">
      <c r="A576" s="2">
        <v>58</v>
      </c>
      <c r="B576" s="2">
        <v>5</v>
      </c>
      <c r="C576" s="4">
        <v>4068.9074326591558</v>
      </c>
      <c r="D576" s="4">
        <v>-4116.6137938109168</v>
      </c>
      <c r="E576" s="4">
        <v>-274.06504286691421</v>
      </c>
    </row>
    <row r="577" spans="1:5" x14ac:dyDescent="0.35">
      <c r="A577" s="2">
        <v>58</v>
      </c>
      <c r="B577" s="2">
        <v>6</v>
      </c>
      <c r="C577" s="4">
        <v>10948.76037130477</v>
      </c>
      <c r="D577" s="4">
        <v>-1259.220658987377</v>
      </c>
      <c r="E577" s="4">
        <v>504.09788081070951</v>
      </c>
    </row>
    <row r="578" spans="1:5" x14ac:dyDescent="0.35">
      <c r="A578" s="2">
        <v>58</v>
      </c>
      <c r="B578" s="2">
        <v>7</v>
      </c>
      <c r="C578" s="4">
        <v>2015.3299134388899</v>
      </c>
      <c r="D578" s="4">
        <v>-5859.9390408036716</v>
      </c>
      <c r="E578" s="4">
        <v>-447.57216264194</v>
      </c>
    </row>
    <row r="579" spans="1:5" x14ac:dyDescent="0.35">
      <c r="A579" s="2">
        <v>58</v>
      </c>
      <c r="B579" s="2">
        <v>8</v>
      </c>
      <c r="C579" s="4">
        <v>-12.40555097366167</v>
      </c>
      <c r="D579" s="4">
        <v>-5617.1993869949129</v>
      </c>
      <c r="E579" s="4">
        <v>-878.24253813012365</v>
      </c>
    </row>
    <row r="580" spans="1:5" x14ac:dyDescent="0.35">
      <c r="A580" s="2">
        <v>58</v>
      </c>
      <c r="B580" s="2">
        <v>9</v>
      </c>
      <c r="C580" s="4">
        <v>-7828.6051559786129</v>
      </c>
      <c r="D580" s="4">
        <v>283.66537654810378</v>
      </c>
      <c r="E580" s="4">
        <v>3506.384242765756</v>
      </c>
    </row>
    <row r="581" spans="1:5" x14ac:dyDescent="0.35">
      <c r="A581" s="2">
        <v>58</v>
      </c>
      <c r="B581" s="2">
        <v>10</v>
      </c>
      <c r="C581" s="4">
        <v>-4883.1448423771326</v>
      </c>
      <c r="D581" s="4">
        <v>2447.7707257536431</v>
      </c>
      <c r="E581" s="4">
        <v>-2566.4759424673571</v>
      </c>
    </row>
    <row r="582" spans="1:5" x14ac:dyDescent="0.35">
      <c r="A582" s="2">
        <v>59</v>
      </c>
      <c r="B582" s="2">
        <v>1</v>
      </c>
      <c r="C582" s="4">
        <v>-1740.36232897593</v>
      </c>
      <c r="D582" s="4">
        <v>4571.8313220999207</v>
      </c>
      <c r="E582" s="4">
        <v>4274.1021181874466</v>
      </c>
    </row>
    <row r="583" spans="1:5" x14ac:dyDescent="0.35">
      <c r="A583" s="2">
        <v>59</v>
      </c>
      <c r="B583" s="2">
        <v>2</v>
      </c>
      <c r="C583" s="4">
        <v>-2739.227960132494</v>
      </c>
      <c r="D583" s="4">
        <v>3324.450041306096</v>
      </c>
      <c r="E583" s="4">
        <v>-2093.084166138769</v>
      </c>
    </row>
    <row r="584" spans="1:5" x14ac:dyDescent="0.35">
      <c r="A584" s="2">
        <v>59</v>
      </c>
      <c r="B584" s="2">
        <v>3</v>
      </c>
      <c r="C584" s="4">
        <v>-5922.7611200371884</v>
      </c>
      <c r="D584" s="4">
        <v>-259.36987874093342</v>
      </c>
      <c r="E584" s="4">
        <v>968.82227338414634</v>
      </c>
    </row>
    <row r="585" spans="1:5" x14ac:dyDescent="0.35">
      <c r="A585" s="2">
        <v>59</v>
      </c>
      <c r="B585" s="2">
        <v>4</v>
      </c>
      <c r="C585" s="4">
        <v>10589.69942965496</v>
      </c>
      <c r="D585" s="4">
        <v>-1362.5726735405051</v>
      </c>
      <c r="E585" s="4">
        <v>463.7065526362386</v>
      </c>
    </row>
    <row r="586" spans="1:5" x14ac:dyDescent="0.35">
      <c r="A586" s="2">
        <v>59</v>
      </c>
      <c r="B586" s="2">
        <v>5</v>
      </c>
      <c r="C586" s="4">
        <v>1628.5080164304979</v>
      </c>
      <c r="D586" s="4">
        <v>-2176.7466840798552</v>
      </c>
      <c r="E586" s="4">
        <v>443.31640201063692</v>
      </c>
    </row>
    <row r="587" spans="1:5" x14ac:dyDescent="0.35">
      <c r="A587" s="2">
        <v>59</v>
      </c>
      <c r="B587" s="2">
        <v>6</v>
      </c>
      <c r="C587" s="4">
        <v>-4325.3120790271078</v>
      </c>
      <c r="D587" s="4">
        <v>-2713.632385904476</v>
      </c>
      <c r="E587" s="4">
        <v>-540.78848327840012</v>
      </c>
    </row>
    <row r="588" spans="1:5" x14ac:dyDescent="0.35">
      <c r="A588" s="2">
        <v>59</v>
      </c>
      <c r="B588" s="2">
        <v>7</v>
      </c>
      <c r="C588" s="4">
        <v>-6437.1345410470722</v>
      </c>
      <c r="D588" s="4">
        <v>-2742.1161766159389</v>
      </c>
      <c r="E588" s="4">
        <v>-312.80562091321917</v>
      </c>
    </row>
    <row r="589" spans="1:5" x14ac:dyDescent="0.35">
      <c r="A589" s="2">
        <v>59</v>
      </c>
      <c r="B589" s="2">
        <v>8</v>
      </c>
      <c r="C589" s="4">
        <v>1358.5690715411411</v>
      </c>
      <c r="D589" s="4">
        <v>-2194.610402409166</v>
      </c>
      <c r="E589" s="4">
        <v>672.88940546794345</v>
      </c>
    </row>
    <row r="590" spans="1:5" x14ac:dyDescent="0.35">
      <c r="A590" s="2">
        <v>59</v>
      </c>
      <c r="B590" s="2">
        <v>9</v>
      </c>
      <c r="C590" s="4">
        <v>6559.3422641217521</v>
      </c>
      <c r="D590" s="4">
        <v>621.83553112557036</v>
      </c>
      <c r="E590" s="4">
        <v>96.04697226319206</v>
      </c>
    </row>
    <row r="591" spans="1:5" x14ac:dyDescent="0.35">
      <c r="A591" s="2">
        <v>59</v>
      </c>
      <c r="B591" s="2">
        <v>10</v>
      </c>
      <c r="C591" s="4">
        <v>1028.679247471656</v>
      </c>
      <c r="D591" s="4">
        <v>2930.931306758403</v>
      </c>
      <c r="E591" s="4">
        <v>-3972.2054536189798</v>
      </c>
    </row>
    <row r="592" spans="1:5" x14ac:dyDescent="0.35">
      <c r="A592" s="2">
        <v>60</v>
      </c>
      <c r="B592" s="2">
        <v>1</v>
      </c>
      <c r="C592" s="4">
        <v>-2462.430436462198</v>
      </c>
      <c r="D592" s="4">
        <v>-4019.0158638763019</v>
      </c>
      <c r="E592" s="4">
        <v>-1327.433480361077</v>
      </c>
    </row>
    <row r="593" spans="1:5" x14ac:dyDescent="0.35">
      <c r="A593" s="2">
        <v>60</v>
      </c>
      <c r="B593" s="2">
        <v>2</v>
      </c>
      <c r="C593" s="4">
        <v>-1129.271084890323</v>
      </c>
      <c r="D593" s="4">
        <v>-3853.944226160474</v>
      </c>
      <c r="E593" s="4">
        <v>121.2041948564072</v>
      </c>
    </row>
    <row r="594" spans="1:5" x14ac:dyDescent="0.35">
      <c r="A594" s="2">
        <v>60</v>
      </c>
      <c r="B594" s="2">
        <v>3</v>
      </c>
      <c r="C594" s="4">
        <v>-3772.9643000916931</v>
      </c>
      <c r="D594" s="4">
        <v>4279.5213932058114</v>
      </c>
      <c r="E594" s="4">
        <v>250.63272208814249</v>
      </c>
    </row>
    <row r="595" spans="1:5" x14ac:dyDescent="0.35">
      <c r="A595" s="2">
        <v>60</v>
      </c>
      <c r="B595" s="2">
        <v>4</v>
      </c>
      <c r="C595" s="4">
        <v>-38.292609314347892</v>
      </c>
      <c r="D595" s="4">
        <v>2735.9617903422291</v>
      </c>
      <c r="E595" s="4">
        <v>-1626.8585882109071</v>
      </c>
    </row>
    <row r="596" spans="1:5" x14ac:dyDescent="0.35">
      <c r="A596" s="2">
        <v>60</v>
      </c>
      <c r="B596" s="2">
        <v>5</v>
      </c>
      <c r="C596" s="4">
        <v>4424.737493602177</v>
      </c>
      <c r="D596" s="4">
        <v>-936.53133260715811</v>
      </c>
      <c r="E596" s="4">
        <v>175.93472954510619</v>
      </c>
    </row>
    <row r="597" spans="1:5" x14ac:dyDescent="0.35">
      <c r="A597" s="2">
        <v>60</v>
      </c>
      <c r="B597" s="2">
        <v>6</v>
      </c>
      <c r="C597" s="4">
        <v>1172.458388442353</v>
      </c>
      <c r="D597" s="4">
        <v>2004.4542743781481</v>
      </c>
      <c r="E597" s="4">
        <v>-1288.0647615428099</v>
      </c>
    </row>
    <row r="598" spans="1:5" x14ac:dyDescent="0.35">
      <c r="A598" s="2">
        <v>60</v>
      </c>
      <c r="B598" s="2">
        <v>7</v>
      </c>
      <c r="C598" s="4">
        <v>3973.1225191675971</v>
      </c>
      <c r="D598" s="4">
        <v>-570.49128897611774</v>
      </c>
      <c r="E598" s="4">
        <v>70.688347223352181</v>
      </c>
    </row>
    <row r="599" spans="1:5" x14ac:dyDescent="0.35">
      <c r="A599" s="2">
        <v>60</v>
      </c>
      <c r="B599" s="2">
        <v>8</v>
      </c>
      <c r="C599" s="4">
        <v>2126.0939985123141</v>
      </c>
      <c r="D599" s="4">
        <v>1090.528084965244</v>
      </c>
      <c r="E599" s="4">
        <v>-625.19655821076219</v>
      </c>
    </row>
    <row r="600" spans="1:5" x14ac:dyDescent="0.35">
      <c r="A600" s="2">
        <v>60</v>
      </c>
      <c r="B600" s="2">
        <v>9</v>
      </c>
      <c r="C600" s="4">
        <v>-513.81758166638679</v>
      </c>
      <c r="D600" s="4">
        <v>301.12722155305931</v>
      </c>
      <c r="E600" s="4">
        <v>4774.1870882589392</v>
      </c>
    </row>
    <row r="601" spans="1:5" x14ac:dyDescent="0.35">
      <c r="A601" s="2">
        <v>60</v>
      </c>
      <c r="B601" s="2">
        <v>10</v>
      </c>
      <c r="C601" s="4">
        <v>-3779.636387299578</v>
      </c>
      <c r="D601" s="4">
        <v>-1031.610052824401</v>
      </c>
      <c r="E601" s="4">
        <v>-525.09369364590043</v>
      </c>
    </row>
    <row r="602" spans="1:5" x14ac:dyDescent="0.35">
      <c r="A602" s="2">
        <v>61</v>
      </c>
      <c r="B602" s="2">
        <v>1</v>
      </c>
      <c r="C602" s="4">
        <v>-4315.7038377479694</v>
      </c>
      <c r="D602" s="4">
        <v>4897.1256445572008</v>
      </c>
      <c r="E602" s="4">
        <v>3874.8195852031681</v>
      </c>
    </row>
    <row r="603" spans="1:5" x14ac:dyDescent="0.35">
      <c r="A603" s="2">
        <v>61</v>
      </c>
      <c r="B603" s="2">
        <v>2</v>
      </c>
      <c r="C603" s="4">
        <v>6011.3308089644815</v>
      </c>
      <c r="D603" s="4">
        <v>2713.1370384180182</v>
      </c>
      <c r="E603" s="4">
        <v>-1235.0337404191</v>
      </c>
    </row>
    <row r="604" spans="1:5" x14ac:dyDescent="0.35">
      <c r="A604" s="2">
        <v>61</v>
      </c>
      <c r="B604" s="2">
        <v>3</v>
      </c>
      <c r="C604" s="4">
        <v>-3332.006605878134</v>
      </c>
      <c r="D604" s="4">
        <v>155.32969892866981</v>
      </c>
      <c r="E604" s="4">
        <v>-1016.5331870757529</v>
      </c>
    </row>
    <row r="605" spans="1:5" x14ac:dyDescent="0.35">
      <c r="A605" s="2">
        <v>61</v>
      </c>
      <c r="B605" s="2">
        <v>4</v>
      </c>
      <c r="C605" s="4">
        <v>6140.8242337824167</v>
      </c>
      <c r="D605" s="4">
        <v>-2704.1679918936138</v>
      </c>
      <c r="E605" s="4">
        <v>1677.2877877933549</v>
      </c>
    </row>
    <row r="606" spans="1:5" x14ac:dyDescent="0.35">
      <c r="A606" s="2">
        <v>61</v>
      </c>
      <c r="B606" s="2">
        <v>5</v>
      </c>
      <c r="C606" s="4">
        <v>-1095.3336422342149</v>
      </c>
      <c r="D606" s="4">
        <v>-2319.1912359146932</v>
      </c>
      <c r="E606" s="4">
        <v>-78.52775040030734</v>
      </c>
    </row>
    <row r="607" spans="1:5" x14ac:dyDescent="0.35">
      <c r="A607" s="2">
        <v>61</v>
      </c>
      <c r="B607" s="2">
        <v>6</v>
      </c>
      <c r="C607" s="4">
        <v>-6999.1422478560871</v>
      </c>
      <c r="D607" s="4">
        <v>-1736.7430266737749</v>
      </c>
      <c r="E607" s="4">
        <v>-776.48708999417784</v>
      </c>
    </row>
    <row r="608" spans="1:5" x14ac:dyDescent="0.35">
      <c r="A608" s="2">
        <v>61</v>
      </c>
      <c r="B608" s="2">
        <v>7</v>
      </c>
      <c r="C608" s="4">
        <v>-6713.4365813879358</v>
      </c>
      <c r="D608" s="4">
        <v>-1849.427257864894</v>
      </c>
      <c r="E608" s="4">
        <v>-548.5792021144855</v>
      </c>
    </row>
    <row r="609" spans="1:5" x14ac:dyDescent="0.35">
      <c r="A609" s="2">
        <v>61</v>
      </c>
      <c r="B609" s="2">
        <v>8</v>
      </c>
      <c r="C609" s="4">
        <v>1836.136370757434</v>
      </c>
      <c r="D609" s="4">
        <v>-2255.4350779904939</v>
      </c>
      <c r="E609" s="4">
        <v>1953.4040521566019</v>
      </c>
    </row>
    <row r="610" spans="1:5" x14ac:dyDescent="0.35">
      <c r="A610" s="2">
        <v>61</v>
      </c>
      <c r="B610" s="2">
        <v>9</v>
      </c>
      <c r="C610" s="4">
        <v>9875.71658219647</v>
      </c>
      <c r="D610" s="4">
        <v>296.23477023403268</v>
      </c>
      <c r="E610" s="4">
        <v>-687.10444320412694</v>
      </c>
    </row>
    <row r="611" spans="1:5" x14ac:dyDescent="0.35">
      <c r="A611" s="2">
        <v>61</v>
      </c>
      <c r="B611" s="2">
        <v>10</v>
      </c>
      <c r="C611" s="4">
        <v>-1408.385080595725</v>
      </c>
      <c r="D611" s="4">
        <v>2803.1374381998689</v>
      </c>
      <c r="E611" s="4">
        <v>-3163.2460119451412</v>
      </c>
    </row>
    <row r="612" spans="1:5" x14ac:dyDescent="0.35">
      <c r="A612" s="2">
        <v>62</v>
      </c>
      <c r="B612" s="2">
        <v>1</v>
      </c>
      <c r="C612" s="4">
        <v>12050.94108499928</v>
      </c>
      <c r="D612" s="4">
        <v>322.3832571024904</v>
      </c>
      <c r="E612" s="4">
        <v>-3276.1025338713648</v>
      </c>
    </row>
    <row r="613" spans="1:5" x14ac:dyDescent="0.35">
      <c r="A613" s="2">
        <v>62</v>
      </c>
      <c r="B613" s="2">
        <v>2</v>
      </c>
      <c r="C613" s="4">
        <v>4156.1427702887431</v>
      </c>
      <c r="D613" s="4">
        <v>1948.3053144495609</v>
      </c>
      <c r="E613" s="4">
        <v>783.67831468968348</v>
      </c>
    </row>
    <row r="614" spans="1:5" x14ac:dyDescent="0.35">
      <c r="A614" s="2">
        <v>62</v>
      </c>
      <c r="B614" s="2">
        <v>3</v>
      </c>
      <c r="C614" s="4">
        <v>3194.877040111583</v>
      </c>
      <c r="D614" s="4">
        <v>1217.126594708913</v>
      </c>
      <c r="E614" s="4">
        <v>4204.964499033933</v>
      </c>
    </row>
    <row r="615" spans="1:5" x14ac:dyDescent="0.35">
      <c r="A615" s="2">
        <v>62</v>
      </c>
      <c r="B615" s="2">
        <v>4</v>
      </c>
      <c r="C615" s="4">
        <v>-3734.3101148323208</v>
      </c>
      <c r="D615" s="4">
        <v>-1275.898501084949</v>
      </c>
      <c r="E615" s="4">
        <v>-791.99731800090342</v>
      </c>
    </row>
    <row r="616" spans="1:5" x14ac:dyDescent="0.35">
      <c r="A616" s="2">
        <v>62</v>
      </c>
      <c r="B616" s="2">
        <v>5</v>
      </c>
      <c r="C616" s="4">
        <v>-1235.137812964206</v>
      </c>
      <c r="D616" s="4">
        <v>-2871.2859165882269</v>
      </c>
      <c r="E616" s="4">
        <v>223.77553980488119</v>
      </c>
    </row>
    <row r="617" spans="1:5" x14ac:dyDescent="0.35">
      <c r="A617" s="2">
        <v>62</v>
      </c>
      <c r="B617" s="2">
        <v>6</v>
      </c>
      <c r="C617" s="4">
        <v>-2659.8181219857461</v>
      </c>
      <c r="D617" s="4">
        <v>-2432.1500438078701</v>
      </c>
      <c r="E617" s="4">
        <v>148.85786556263099</v>
      </c>
    </row>
    <row r="618" spans="1:5" x14ac:dyDescent="0.35">
      <c r="A618" s="2">
        <v>62</v>
      </c>
      <c r="B618" s="2">
        <v>7</v>
      </c>
      <c r="C618" s="4">
        <v>3142.8713901069632</v>
      </c>
      <c r="D618" s="4">
        <v>-3355.4693115250502</v>
      </c>
      <c r="E618" s="4">
        <v>714.9408452636859</v>
      </c>
    </row>
    <row r="619" spans="1:5" x14ac:dyDescent="0.35">
      <c r="A619" s="2">
        <v>62</v>
      </c>
      <c r="B619" s="2">
        <v>8</v>
      </c>
      <c r="C619" s="4">
        <v>-9861.8469548603134</v>
      </c>
      <c r="D619" s="4">
        <v>363.70624346032503</v>
      </c>
      <c r="E619" s="4">
        <v>-1583.104855043244</v>
      </c>
    </row>
    <row r="620" spans="1:5" x14ac:dyDescent="0.35">
      <c r="A620" s="2">
        <v>62</v>
      </c>
      <c r="B620" s="2">
        <v>9</v>
      </c>
      <c r="C620" s="4">
        <v>-1703.149265855232</v>
      </c>
      <c r="D620" s="4">
        <v>2345.453974333238</v>
      </c>
      <c r="E620" s="4">
        <v>740.62526600906597</v>
      </c>
    </row>
    <row r="621" spans="1:5" x14ac:dyDescent="0.35">
      <c r="A621" s="2">
        <v>62</v>
      </c>
      <c r="B621" s="2">
        <v>10</v>
      </c>
      <c r="C621" s="4">
        <v>-3350.570015009198</v>
      </c>
      <c r="D621" s="4">
        <v>3737.828388951536</v>
      </c>
      <c r="E621" s="4">
        <v>-1165.637623448082</v>
      </c>
    </row>
    <row r="622" spans="1:5" x14ac:dyDescent="0.35">
      <c r="A622" s="2">
        <v>63</v>
      </c>
      <c r="B622" s="2">
        <v>1</v>
      </c>
      <c r="C622" s="4">
        <v>-1310.1368106065991</v>
      </c>
      <c r="D622" s="4">
        <v>5138.7142143602177</v>
      </c>
      <c r="E622" s="4">
        <v>3878.306505349397</v>
      </c>
    </row>
    <row r="623" spans="1:5" x14ac:dyDescent="0.35">
      <c r="A623" s="2">
        <v>63</v>
      </c>
      <c r="B623" s="2">
        <v>2</v>
      </c>
      <c r="C623" s="4">
        <v>3342.3936996111661</v>
      </c>
      <c r="D623" s="4">
        <v>2469.883486285441</v>
      </c>
      <c r="E623" s="4">
        <v>-2240.3333895407509</v>
      </c>
    </row>
    <row r="624" spans="1:5" x14ac:dyDescent="0.35">
      <c r="A624" s="2">
        <v>63</v>
      </c>
      <c r="B624" s="2">
        <v>3</v>
      </c>
      <c r="C624" s="4">
        <v>-1277.242421630734</v>
      </c>
      <c r="D624" s="4">
        <v>548.91505187178143</v>
      </c>
      <c r="E624" s="4">
        <v>-2156.0496704787579</v>
      </c>
    </row>
    <row r="625" spans="1:5" x14ac:dyDescent="0.35">
      <c r="A625" s="2">
        <v>63</v>
      </c>
      <c r="B625" s="2">
        <v>4</v>
      </c>
      <c r="C625" s="4">
        <v>7572.2452956764037</v>
      </c>
      <c r="D625" s="4">
        <v>-2067.3117542484511</v>
      </c>
      <c r="E625" s="4">
        <v>1044.260504545276</v>
      </c>
    </row>
    <row r="626" spans="1:5" x14ac:dyDescent="0.35">
      <c r="A626" s="2">
        <v>63</v>
      </c>
      <c r="B626" s="2">
        <v>5</v>
      </c>
      <c r="C626" s="4">
        <v>-2111.0144902219431</v>
      </c>
      <c r="D626" s="4">
        <v>-2391.0357809141392</v>
      </c>
      <c r="E626" s="4">
        <v>866.67875827969954</v>
      </c>
    </row>
    <row r="627" spans="1:5" x14ac:dyDescent="0.35">
      <c r="A627" s="2">
        <v>63</v>
      </c>
      <c r="B627" s="2">
        <v>6</v>
      </c>
      <c r="C627" s="4">
        <v>-4705.6402820139274</v>
      </c>
      <c r="D627" s="4">
        <v>-1979.1982682238679</v>
      </c>
      <c r="E627" s="4">
        <v>1271.2592619571899</v>
      </c>
    </row>
    <row r="628" spans="1:5" x14ac:dyDescent="0.35">
      <c r="A628" s="2">
        <v>63</v>
      </c>
      <c r="B628" s="2">
        <v>7</v>
      </c>
      <c r="C628" s="4">
        <v>-1432.2484696832321</v>
      </c>
      <c r="D628" s="4">
        <v>-1957.736936047552</v>
      </c>
      <c r="E628" s="4">
        <v>797.53447571333857</v>
      </c>
    </row>
    <row r="629" spans="1:5" x14ac:dyDescent="0.35">
      <c r="A629" s="2">
        <v>63</v>
      </c>
      <c r="B629" s="2">
        <v>8</v>
      </c>
      <c r="C629" s="4">
        <v>4556.0871109947439</v>
      </c>
      <c r="D629" s="4">
        <v>-1668.9135058756731</v>
      </c>
      <c r="E629" s="4">
        <v>544.61453798094999</v>
      </c>
    </row>
    <row r="630" spans="1:5" x14ac:dyDescent="0.35">
      <c r="A630" s="2">
        <v>63</v>
      </c>
      <c r="B630" s="2">
        <v>9</v>
      </c>
      <c r="C630" s="4">
        <v>-7303.9090961588436</v>
      </c>
      <c r="D630" s="4">
        <v>-18.188679634934221</v>
      </c>
      <c r="E630" s="4">
        <v>-1912.6136200515291</v>
      </c>
    </row>
    <row r="631" spans="1:5" x14ac:dyDescent="0.35">
      <c r="A631" s="2">
        <v>63</v>
      </c>
      <c r="B631" s="2">
        <v>10</v>
      </c>
      <c r="C631" s="4">
        <v>2669.4654640329841</v>
      </c>
      <c r="D631" s="4">
        <v>1924.872172427715</v>
      </c>
      <c r="E631" s="4">
        <v>-2093.6573637545739</v>
      </c>
    </row>
    <row r="632" spans="1:5" x14ac:dyDescent="0.35">
      <c r="A632" s="2">
        <v>64</v>
      </c>
      <c r="B632" s="2">
        <v>1</v>
      </c>
      <c r="C632" s="4">
        <v>-4896.7668753719181</v>
      </c>
      <c r="D632" s="4">
        <v>-2779.272544709605</v>
      </c>
      <c r="E632" s="4">
        <v>4859.8084724667988</v>
      </c>
    </row>
    <row r="633" spans="1:5" x14ac:dyDescent="0.35">
      <c r="A633" s="2">
        <v>64</v>
      </c>
      <c r="B633" s="2">
        <v>2</v>
      </c>
      <c r="C633" s="4">
        <v>-2358.1556866573769</v>
      </c>
      <c r="D633" s="4">
        <v>-3028.4116227341278</v>
      </c>
      <c r="E633" s="4">
        <v>-1256.4845000125661</v>
      </c>
    </row>
    <row r="634" spans="1:5" x14ac:dyDescent="0.35">
      <c r="A634" s="2">
        <v>64</v>
      </c>
      <c r="B634" s="2">
        <v>3</v>
      </c>
      <c r="C634" s="4">
        <v>6838.6860756205178</v>
      </c>
      <c r="D634" s="4">
        <v>-1930.399095477125</v>
      </c>
      <c r="E634" s="4">
        <v>-485.84696308706191</v>
      </c>
    </row>
    <row r="635" spans="1:5" x14ac:dyDescent="0.35">
      <c r="A635" s="2">
        <v>64</v>
      </c>
      <c r="B635" s="2">
        <v>4</v>
      </c>
      <c r="C635" s="4">
        <v>-4575.0048635823678</v>
      </c>
      <c r="D635" s="4">
        <v>1681.236754426968</v>
      </c>
      <c r="E635" s="4">
        <v>-927.12790824784247</v>
      </c>
    </row>
    <row r="636" spans="1:5" x14ac:dyDescent="0.35">
      <c r="A636" s="2">
        <v>64</v>
      </c>
      <c r="B636" s="2">
        <v>5</v>
      </c>
      <c r="C636" s="4">
        <v>3494.978232313897</v>
      </c>
      <c r="D636" s="4">
        <v>2389.8582769127238</v>
      </c>
      <c r="E636" s="4">
        <v>895.81728505069384</v>
      </c>
    </row>
    <row r="637" spans="1:5" x14ac:dyDescent="0.35">
      <c r="A637" s="2">
        <v>64</v>
      </c>
      <c r="B637" s="2">
        <v>6</v>
      </c>
      <c r="C637" s="4">
        <v>-2469.128131846659</v>
      </c>
      <c r="D637" s="4">
        <v>3304.498771197224</v>
      </c>
      <c r="E637" s="4">
        <v>388.17628065867052</v>
      </c>
    </row>
    <row r="638" spans="1:5" x14ac:dyDescent="0.35">
      <c r="A638" s="2">
        <v>64</v>
      </c>
      <c r="B638" s="2">
        <v>7</v>
      </c>
      <c r="C638" s="4">
        <v>-1769.929077320086</v>
      </c>
      <c r="D638" s="4">
        <v>3088.0480858235542</v>
      </c>
      <c r="E638" s="4">
        <v>356.78673111972171</v>
      </c>
    </row>
    <row r="639" spans="1:5" x14ac:dyDescent="0.35">
      <c r="A639" s="2">
        <v>64</v>
      </c>
      <c r="B639" s="2">
        <v>8</v>
      </c>
      <c r="C639" s="4">
        <v>9838.667230298186</v>
      </c>
      <c r="D639" s="4">
        <v>-168.67823477270969</v>
      </c>
      <c r="E639" s="4">
        <v>652.07302285936566</v>
      </c>
    </row>
    <row r="640" spans="1:5" x14ac:dyDescent="0.35">
      <c r="A640" s="2">
        <v>64</v>
      </c>
      <c r="B640" s="2">
        <v>9</v>
      </c>
      <c r="C640" s="4">
        <v>1740.060568460553</v>
      </c>
      <c r="D640" s="4">
        <v>-1037.365315887645</v>
      </c>
      <c r="E640" s="4">
        <v>-1877.547634541434</v>
      </c>
    </row>
    <row r="641" spans="1:5" x14ac:dyDescent="0.35">
      <c r="A641" s="2">
        <v>64</v>
      </c>
      <c r="B641" s="2">
        <v>10</v>
      </c>
      <c r="C641" s="4">
        <v>-5843.4074719151913</v>
      </c>
      <c r="D641" s="4">
        <v>-1519.5150747791349</v>
      </c>
      <c r="E641" s="4">
        <v>-2605.6547862657599</v>
      </c>
    </row>
    <row r="642" spans="1:5" x14ac:dyDescent="0.35">
      <c r="A642" s="2">
        <v>65</v>
      </c>
      <c r="B642" s="2">
        <v>1</v>
      </c>
      <c r="C642" s="4">
        <v>9460.7466828080032</v>
      </c>
      <c r="D642" s="4">
        <v>3952.589770665053</v>
      </c>
      <c r="E642" s="4">
        <v>3643.5793950690918</v>
      </c>
    </row>
    <row r="643" spans="1:5" x14ac:dyDescent="0.35">
      <c r="A643" s="2">
        <v>65</v>
      </c>
      <c r="B643" s="2">
        <v>2</v>
      </c>
      <c r="C643" s="4">
        <v>-6433.6506619010788</v>
      </c>
      <c r="D643" s="4">
        <v>3514.2285386643939</v>
      </c>
      <c r="E643" s="4">
        <v>-1176.807879528026</v>
      </c>
    </row>
    <row r="644" spans="1:5" x14ac:dyDescent="0.35">
      <c r="A644" s="2">
        <v>65</v>
      </c>
      <c r="B644" s="2">
        <v>3</v>
      </c>
      <c r="C644" s="4">
        <v>7603.1998401635783</v>
      </c>
      <c r="D644" s="4">
        <v>-125.1396168580045</v>
      </c>
      <c r="E644" s="4">
        <v>-3463.2301592371691</v>
      </c>
    </row>
    <row r="645" spans="1:5" x14ac:dyDescent="0.35">
      <c r="A645" s="2">
        <v>65</v>
      </c>
      <c r="B645" s="2">
        <v>4</v>
      </c>
      <c r="C645" s="4">
        <v>-8208.3097186676932</v>
      </c>
      <c r="D645" s="4">
        <v>-291.94061668251561</v>
      </c>
      <c r="E645" s="4">
        <v>2292.0523316341159</v>
      </c>
    </row>
    <row r="646" spans="1:5" x14ac:dyDescent="0.35">
      <c r="A646" s="2">
        <v>65</v>
      </c>
      <c r="B646" s="2">
        <v>5</v>
      </c>
      <c r="C646" s="4">
        <v>2331.316938677041</v>
      </c>
      <c r="D646" s="4">
        <v>-3026.5562619828088</v>
      </c>
      <c r="E646" s="4">
        <v>352.26798722579213</v>
      </c>
    </row>
    <row r="647" spans="1:5" x14ac:dyDescent="0.35">
      <c r="A647" s="2">
        <v>65</v>
      </c>
      <c r="B647" s="2">
        <v>6</v>
      </c>
      <c r="C647" s="4">
        <v>-2799.959603171259</v>
      </c>
      <c r="D647" s="4">
        <v>-3101.509971036337</v>
      </c>
      <c r="E647" s="4">
        <v>1097.389700711399</v>
      </c>
    </row>
    <row r="648" spans="1:5" x14ac:dyDescent="0.35">
      <c r="A648" s="2">
        <v>65</v>
      </c>
      <c r="B648" s="2">
        <v>7</v>
      </c>
      <c r="C648" s="4">
        <v>4482.0836223952256</v>
      </c>
      <c r="D648" s="4">
        <v>-3206.8597141631708</v>
      </c>
      <c r="E648" s="4">
        <v>64.803292849323697</v>
      </c>
    </row>
    <row r="649" spans="1:5" x14ac:dyDescent="0.35">
      <c r="A649" s="2">
        <v>65</v>
      </c>
      <c r="B649" s="2">
        <v>8</v>
      </c>
      <c r="C649" s="4">
        <v>-2235.4558115421169</v>
      </c>
      <c r="D649" s="4">
        <v>-657.07051172652677</v>
      </c>
      <c r="E649" s="4">
        <v>550.90212383519849</v>
      </c>
    </row>
    <row r="650" spans="1:5" x14ac:dyDescent="0.35">
      <c r="A650" s="2">
        <v>65</v>
      </c>
      <c r="B650" s="2">
        <v>9</v>
      </c>
      <c r="C650" s="4">
        <v>-5274.4293119557387</v>
      </c>
      <c r="D650" s="4">
        <v>1278.180162855881</v>
      </c>
      <c r="E650" s="4">
        <v>-1560.434530432846</v>
      </c>
    </row>
    <row r="651" spans="1:5" x14ac:dyDescent="0.35">
      <c r="A651" s="2">
        <v>65</v>
      </c>
      <c r="B651" s="2">
        <v>10</v>
      </c>
      <c r="C651" s="4">
        <v>1074.458023193725</v>
      </c>
      <c r="D651" s="4">
        <v>1664.078220263212</v>
      </c>
      <c r="E651" s="4">
        <v>-1800.522262127005</v>
      </c>
    </row>
    <row r="652" spans="1:5" x14ac:dyDescent="0.35">
      <c r="A652" s="2">
        <v>66</v>
      </c>
      <c r="B652" s="2">
        <v>1</v>
      </c>
      <c r="C652" s="4">
        <v>4306.0339919799944</v>
      </c>
      <c r="D652" s="4">
        <v>7266.2983874598403</v>
      </c>
      <c r="E652" s="4">
        <v>-1191.4996176026141</v>
      </c>
    </row>
    <row r="653" spans="1:5" x14ac:dyDescent="0.35">
      <c r="A653" s="2">
        <v>66</v>
      </c>
      <c r="B653" s="2">
        <v>2</v>
      </c>
      <c r="C653" s="4">
        <v>-2365.7069487917852</v>
      </c>
      <c r="D653" s="4">
        <v>1703.298430786012</v>
      </c>
      <c r="E653" s="4">
        <v>3989.7475921463629</v>
      </c>
    </row>
    <row r="654" spans="1:5" x14ac:dyDescent="0.35">
      <c r="A654" s="2">
        <v>66</v>
      </c>
      <c r="B654" s="2">
        <v>3</v>
      </c>
      <c r="C654" s="4">
        <v>-4265.8434507074562</v>
      </c>
      <c r="D654" s="4">
        <v>-813.57358661084777</v>
      </c>
      <c r="E654" s="4">
        <v>1939.2693653118611</v>
      </c>
    </row>
    <row r="655" spans="1:5" x14ac:dyDescent="0.35">
      <c r="A655" s="2">
        <v>66</v>
      </c>
      <c r="B655" s="2">
        <v>4</v>
      </c>
      <c r="C655" s="4">
        <v>10315.71784804329</v>
      </c>
      <c r="D655" s="4">
        <v>-2639.90797846542</v>
      </c>
      <c r="E655" s="4">
        <v>-1661.3126287155869</v>
      </c>
    </row>
    <row r="656" spans="1:5" x14ac:dyDescent="0.35">
      <c r="A656" s="2">
        <v>66</v>
      </c>
      <c r="B656" s="2">
        <v>5</v>
      </c>
      <c r="C656" s="4">
        <v>-2403.3660687422848</v>
      </c>
      <c r="D656" s="4">
        <v>-859.0529625732479</v>
      </c>
      <c r="E656" s="4">
        <v>-2320.6144334458131</v>
      </c>
    </row>
    <row r="657" spans="1:5" x14ac:dyDescent="0.35">
      <c r="A657" s="2">
        <v>66</v>
      </c>
      <c r="B657" s="2">
        <v>6</v>
      </c>
      <c r="C657" s="4">
        <v>-5423.0124045509683</v>
      </c>
      <c r="D657" s="4">
        <v>-247.58014140448429</v>
      </c>
      <c r="E657" s="4">
        <v>-1678.0814349316629</v>
      </c>
    </row>
    <row r="658" spans="1:5" x14ac:dyDescent="0.35">
      <c r="A658" s="2">
        <v>66</v>
      </c>
      <c r="B658" s="2">
        <v>7</v>
      </c>
      <c r="C658" s="4">
        <v>-3540.2507501948839</v>
      </c>
      <c r="D658" s="4">
        <v>-518.32593386805979</v>
      </c>
      <c r="E658" s="4">
        <v>-2013.706111876201</v>
      </c>
    </row>
    <row r="659" spans="1:5" x14ac:dyDescent="0.35">
      <c r="A659" s="2">
        <v>66</v>
      </c>
      <c r="B659" s="2">
        <v>8</v>
      </c>
      <c r="C659" s="4">
        <v>-4680.8579356086284</v>
      </c>
      <c r="D659" s="4">
        <v>-644.42015920929794</v>
      </c>
      <c r="E659" s="4">
        <v>-501.88907031721402</v>
      </c>
    </row>
    <row r="660" spans="1:5" x14ac:dyDescent="0.35">
      <c r="A660" s="2">
        <v>66</v>
      </c>
      <c r="B660" s="2">
        <v>9</v>
      </c>
      <c r="C660" s="4">
        <v>2795.8452999727911</v>
      </c>
      <c r="D660" s="4">
        <v>-2160.274303751733</v>
      </c>
      <c r="E660" s="4">
        <v>918.91062494619428</v>
      </c>
    </row>
    <row r="661" spans="1:5" x14ac:dyDescent="0.35">
      <c r="A661" s="2">
        <v>66</v>
      </c>
      <c r="B661" s="2">
        <v>10</v>
      </c>
      <c r="C661" s="4">
        <v>5261.4404186005704</v>
      </c>
      <c r="D661" s="4">
        <v>-1086.461752362643</v>
      </c>
      <c r="E661" s="4">
        <v>2519.175714484878</v>
      </c>
    </row>
    <row r="662" spans="1:5" x14ac:dyDescent="0.35">
      <c r="A662" s="2">
        <v>67</v>
      </c>
      <c r="B662" s="2">
        <v>1</v>
      </c>
      <c r="C662" s="4">
        <v>7423.1255269527592</v>
      </c>
      <c r="D662" s="4">
        <v>10495.77364198652</v>
      </c>
      <c r="E662" s="4">
        <v>-1223.6760671316231</v>
      </c>
    </row>
    <row r="663" spans="1:5" x14ac:dyDescent="0.35">
      <c r="A663" s="2">
        <v>67</v>
      </c>
      <c r="B663" s="2">
        <v>2</v>
      </c>
      <c r="C663" s="4">
        <v>-6406.7409728944886</v>
      </c>
      <c r="D663" s="4">
        <v>2269.5962430438158</v>
      </c>
      <c r="E663" s="4">
        <v>3143.6182211845512</v>
      </c>
    </row>
    <row r="664" spans="1:5" x14ac:dyDescent="0.35">
      <c r="A664" s="2">
        <v>67</v>
      </c>
      <c r="B664" s="2">
        <v>3</v>
      </c>
      <c r="C664" s="4">
        <v>3677.7184093409369</v>
      </c>
      <c r="D664" s="4">
        <v>-2655.7382663533572</v>
      </c>
      <c r="E664" s="4">
        <v>2488.2817424601349</v>
      </c>
    </row>
    <row r="665" spans="1:5" x14ac:dyDescent="0.35">
      <c r="A665" s="2">
        <v>67</v>
      </c>
      <c r="B665" s="2">
        <v>4</v>
      </c>
      <c r="C665" s="4">
        <v>8675.7712942738453</v>
      </c>
      <c r="D665" s="4">
        <v>-3990.786998807806</v>
      </c>
      <c r="E665" s="4">
        <v>2064.326781130796</v>
      </c>
    </row>
    <row r="666" spans="1:5" x14ac:dyDescent="0.35">
      <c r="A666" s="2">
        <v>67</v>
      </c>
      <c r="B666" s="2">
        <v>5</v>
      </c>
      <c r="C666" s="4">
        <v>302.14226671207291</v>
      </c>
      <c r="D666" s="4">
        <v>-2800.4868994163489</v>
      </c>
      <c r="E666" s="4">
        <v>-1530.3118137083609</v>
      </c>
    </row>
    <row r="667" spans="1:5" x14ac:dyDescent="0.35">
      <c r="A667" s="2">
        <v>67</v>
      </c>
      <c r="B667" s="2">
        <v>6</v>
      </c>
      <c r="C667" s="4">
        <v>717.24127239523716</v>
      </c>
      <c r="D667" s="4">
        <v>-3237.2384648131779</v>
      </c>
      <c r="E667" s="4">
        <v>-1844.3144029588209</v>
      </c>
    </row>
    <row r="668" spans="1:5" x14ac:dyDescent="0.35">
      <c r="A668" s="2">
        <v>67</v>
      </c>
      <c r="B668" s="2">
        <v>7</v>
      </c>
      <c r="C668" s="4">
        <v>-1479.103273028368</v>
      </c>
      <c r="D668" s="4">
        <v>-2007.12512052075</v>
      </c>
      <c r="E668" s="4">
        <v>-1972.4220656647531</v>
      </c>
    </row>
    <row r="669" spans="1:5" x14ac:dyDescent="0.35">
      <c r="A669" s="2">
        <v>67</v>
      </c>
      <c r="B669" s="2">
        <v>8</v>
      </c>
      <c r="C669" s="4">
        <v>-3133.7182027600152</v>
      </c>
      <c r="D669" s="4">
        <v>-1332.823134397825</v>
      </c>
      <c r="E669" s="4">
        <v>-1524.4851944148691</v>
      </c>
    </row>
    <row r="670" spans="1:5" x14ac:dyDescent="0.35">
      <c r="A670" s="2">
        <v>67</v>
      </c>
      <c r="B670" s="2">
        <v>9</v>
      </c>
      <c r="C670" s="4">
        <v>-3574.67355875152</v>
      </c>
      <c r="D670" s="4">
        <v>-1045.8129186011711</v>
      </c>
      <c r="E670" s="4">
        <v>-484.2294162187452</v>
      </c>
    </row>
    <row r="671" spans="1:5" x14ac:dyDescent="0.35">
      <c r="A671" s="2">
        <v>67</v>
      </c>
      <c r="B671" s="2">
        <v>10</v>
      </c>
      <c r="C671" s="4">
        <v>-6201.7627622403188</v>
      </c>
      <c r="D671" s="4">
        <v>4304.6419178796341</v>
      </c>
      <c r="E671" s="4">
        <v>883.21221532155823</v>
      </c>
    </row>
    <row r="672" spans="1:5" x14ac:dyDescent="0.35">
      <c r="A672" s="2">
        <v>68</v>
      </c>
      <c r="B672" s="2">
        <v>1</v>
      </c>
      <c r="C672" s="4">
        <v>-8719.5173158053276</v>
      </c>
      <c r="D672" s="4">
        <v>6118.5692821575558</v>
      </c>
      <c r="E672" s="4">
        <v>-1449.5204095653321</v>
      </c>
    </row>
    <row r="673" spans="1:5" x14ac:dyDescent="0.35">
      <c r="A673" s="2">
        <v>68</v>
      </c>
      <c r="B673" s="2">
        <v>2</v>
      </c>
      <c r="C673" s="4">
        <v>6126.5265430694481</v>
      </c>
      <c r="D673" s="4">
        <v>1699.1000731621809</v>
      </c>
      <c r="E673" s="4">
        <v>776.51810952561812</v>
      </c>
    </row>
    <row r="674" spans="1:5" x14ac:dyDescent="0.35">
      <c r="A674" s="2">
        <v>68</v>
      </c>
      <c r="B674" s="2">
        <v>3</v>
      </c>
      <c r="C674" s="4">
        <v>-4271.4389020071912</v>
      </c>
      <c r="D674" s="4">
        <v>-1386.2100959493</v>
      </c>
      <c r="E674" s="4">
        <v>3922.225718583491</v>
      </c>
    </row>
    <row r="675" spans="1:5" x14ac:dyDescent="0.35">
      <c r="A675" s="2">
        <v>68</v>
      </c>
      <c r="B675" s="2">
        <v>4</v>
      </c>
      <c r="C675" s="4">
        <v>-5838.524584303681</v>
      </c>
      <c r="D675" s="4">
        <v>-2129.1607105455232</v>
      </c>
      <c r="E675" s="4">
        <v>372.47748284392372</v>
      </c>
    </row>
    <row r="676" spans="1:5" x14ac:dyDescent="0.35">
      <c r="A676" s="2">
        <v>68</v>
      </c>
      <c r="B676" s="2">
        <v>5</v>
      </c>
      <c r="C676" s="4">
        <v>-334.58865545358651</v>
      </c>
      <c r="D676" s="4">
        <v>-1738.4050689197261</v>
      </c>
      <c r="E676" s="4">
        <v>-2156.5400695845201</v>
      </c>
    </row>
    <row r="677" spans="1:5" x14ac:dyDescent="0.35">
      <c r="A677" s="2">
        <v>68</v>
      </c>
      <c r="B677" s="2">
        <v>6</v>
      </c>
      <c r="C677" s="4">
        <v>1830.3863804173729</v>
      </c>
      <c r="D677" s="4">
        <v>-1997.824410257271</v>
      </c>
      <c r="E677" s="4">
        <v>-2314.782538123246</v>
      </c>
    </row>
    <row r="678" spans="1:5" x14ac:dyDescent="0.35">
      <c r="A678" s="2">
        <v>68</v>
      </c>
      <c r="B678" s="2">
        <v>7</v>
      </c>
      <c r="C678" s="4">
        <v>1391.5761512620859</v>
      </c>
      <c r="D678" s="4">
        <v>-2001.6890725880251</v>
      </c>
      <c r="E678" s="4">
        <v>-2440.947887902842</v>
      </c>
    </row>
    <row r="679" spans="1:5" x14ac:dyDescent="0.35">
      <c r="A679" s="2">
        <v>68</v>
      </c>
      <c r="B679" s="2">
        <v>8</v>
      </c>
      <c r="C679" s="4">
        <v>-3814.217009075152</v>
      </c>
      <c r="D679" s="4">
        <v>-1596.6367511131</v>
      </c>
      <c r="E679" s="4">
        <v>882.96006913491215</v>
      </c>
    </row>
    <row r="680" spans="1:5" x14ac:dyDescent="0.35">
      <c r="A680" s="2">
        <v>68</v>
      </c>
      <c r="B680" s="2">
        <v>9</v>
      </c>
      <c r="C680" s="4">
        <v>4593.1381411572293</v>
      </c>
      <c r="D680" s="4">
        <v>684.50830996374737</v>
      </c>
      <c r="E680" s="4">
        <v>2238.089689214698</v>
      </c>
    </row>
    <row r="681" spans="1:5" x14ac:dyDescent="0.35">
      <c r="A681" s="2">
        <v>68</v>
      </c>
      <c r="B681" s="2">
        <v>10</v>
      </c>
      <c r="C681" s="4">
        <v>9036.6592507381247</v>
      </c>
      <c r="D681" s="4">
        <v>2347.7484440897879</v>
      </c>
      <c r="E681" s="4">
        <v>169.51983587385931</v>
      </c>
    </row>
    <row r="682" spans="1:5" x14ac:dyDescent="0.35">
      <c r="A682" s="2">
        <v>69</v>
      </c>
      <c r="B682" s="2">
        <v>1</v>
      </c>
      <c r="C682" s="4">
        <v>3035.8508573855952</v>
      </c>
      <c r="D682" s="4">
        <v>5862.1687295013444</v>
      </c>
      <c r="E682" s="4">
        <v>3579.59971337039</v>
      </c>
    </row>
    <row r="683" spans="1:5" x14ac:dyDescent="0.35">
      <c r="A683" s="2">
        <v>69</v>
      </c>
      <c r="B683" s="2">
        <v>2</v>
      </c>
      <c r="C683" s="4">
        <v>-4070.1352161160721</v>
      </c>
      <c r="D683" s="4">
        <v>2628.9815847461859</v>
      </c>
      <c r="E683" s="4">
        <v>-1649.032043176124</v>
      </c>
    </row>
    <row r="684" spans="1:5" x14ac:dyDescent="0.35">
      <c r="A684" s="2">
        <v>69</v>
      </c>
      <c r="B684" s="2">
        <v>3</v>
      </c>
      <c r="C684" s="4">
        <v>-2340.213006165513</v>
      </c>
      <c r="D684" s="4">
        <v>160.63288990798071</v>
      </c>
      <c r="E684" s="4">
        <v>-2088.857163852254</v>
      </c>
    </row>
    <row r="685" spans="1:5" x14ac:dyDescent="0.35">
      <c r="A685" s="2">
        <v>69</v>
      </c>
      <c r="B685" s="2">
        <v>4</v>
      </c>
      <c r="C685" s="4">
        <v>5177.1110364667384</v>
      </c>
      <c r="D685" s="4">
        <v>-1249.0257670516089</v>
      </c>
      <c r="E685" s="4">
        <v>-2318.7593947531309</v>
      </c>
    </row>
    <row r="686" spans="1:5" x14ac:dyDescent="0.35">
      <c r="A686" s="2">
        <v>69</v>
      </c>
      <c r="B686" s="2">
        <v>5</v>
      </c>
      <c r="C686" s="4">
        <v>-2345.3969882024721</v>
      </c>
      <c r="D686" s="4">
        <v>-2645.429989419561</v>
      </c>
      <c r="E686" s="4">
        <v>2078.2712178684701</v>
      </c>
    </row>
    <row r="687" spans="1:5" x14ac:dyDescent="0.35">
      <c r="A687" s="2">
        <v>69</v>
      </c>
      <c r="B687" s="2">
        <v>6</v>
      </c>
      <c r="C687" s="4">
        <v>-2321.992014782194</v>
      </c>
      <c r="D687" s="4">
        <v>-2790.1905586749481</v>
      </c>
      <c r="E687" s="4">
        <v>2501.6605194152721</v>
      </c>
    </row>
    <row r="688" spans="1:5" x14ac:dyDescent="0.35">
      <c r="A688" s="2">
        <v>69</v>
      </c>
      <c r="B688" s="2">
        <v>7</v>
      </c>
      <c r="C688" s="4">
        <v>4731.0545216454693</v>
      </c>
      <c r="D688" s="4">
        <v>-2561.3062340555362</v>
      </c>
      <c r="E688" s="4">
        <v>1241.572513325634</v>
      </c>
    </row>
    <row r="689" spans="1:5" x14ac:dyDescent="0.35">
      <c r="A689" s="2">
        <v>69</v>
      </c>
      <c r="B689" s="2">
        <v>8</v>
      </c>
      <c r="C689" s="4">
        <v>-4246.655405194545</v>
      </c>
      <c r="D689" s="4">
        <v>-1720.9425596428839</v>
      </c>
      <c r="E689" s="4">
        <v>92.461810370033916</v>
      </c>
    </row>
    <row r="690" spans="1:5" x14ac:dyDescent="0.35">
      <c r="A690" s="2">
        <v>69</v>
      </c>
      <c r="B690" s="2">
        <v>9</v>
      </c>
      <c r="C690" s="4">
        <v>4486.7488820975032</v>
      </c>
      <c r="D690" s="4">
        <v>-493.175352425423</v>
      </c>
      <c r="E690" s="4">
        <v>-1895.9646655099259</v>
      </c>
    </row>
    <row r="691" spans="1:5" x14ac:dyDescent="0.35">
      <c r="A691" s="2">
        <v>69</v>
      </c>
      <c r="B691" s="2">
        <v>10</v>
      </c>
      <c r="C691" s="4">
        <v>-2106.3726671351819</v>
      </c>
      <c r="D691" s="4">
        <v>2808.287257114795</v>
      </c>
      <c r="E691" s="4">
        <v>-1540.9525070579971</v>
      </c>
    </row>
    <row r="692" spans="1:5" x14ac:dyDescent="0.35">
      <c r="A692" s="2">
        <v>70</v>
      </c>
      <c r="B692" s="2">
        <v>1</v>
      </c>
      <c r="C692" s="4">
        <v>10104.431684428069</v>
      </c>
      <c r="D692" s="4">
        <v>691.63355824057021</v>
      </c>
      <c r="E692" s="4">
        <v>3540.3615422928351</v>
      </c>
    </row>
    <row r="693" spans="1:5" x14ac:dyDescent="0.35">
      <c r="A693" s="2">
        <v>70</v>
      </c>
      <c r="B693" s="2">
        <v>2</v>
      </c>
      <c r="C693" s="4">
        <v>2421.6556340926381</v>
      </c>
      <c r="D693" s="4">
        <v>2774.4096357850531</v>
      </c>
      <c r="E693" s="4">
        <v>-1396.9747937271741</v>
      </c>
    </row>
    <row r="694" spans="1:5" x14ac:dyDescent="0.35">
      <c r="A694" s="2">
        <v>70</v>
      </c>
      <c r="B694" s="2">
        <v>3</v>
      </c>
      <c r="C694" s="4">
        <v>2663.8148400954292</v>
      </c>
      <c r="D694" s="4">
        <v>-351.27678227277391</v>
      </c>
      <c r="E694" s="4">
        <v>-3230.1022259414281</v>
      </c>
    </row>
    <row r="695" spans="1:5" x14ac:dyDescent="0.35">
      <c r="A695" s="2">
        <v>70</v>
      </c>
      <c r="B695" s="2">
        <v>4</v>
      </c>
      <c r="C695" s="4">
        <v>-5244.1110806913184</v>
      </c>
      <c r="D695" s="4">
        <v>639.6078324961203</v>
      </c>
      <c r="E695" s="4">
        <v>-72.386180626877547</v>
      </c>
    </row>
    <row r="696" spans="1:5" x14ac:dyDescent="0.35">
      <c r="A696" s="2">
        <v>70</v>
      </c>
      <c r="B696" s="2">
        <v>5</v>
      </c>
      <c r="C696" s="4">
        <v>-5298.257230715657</v>
      </c>
      <c r="D696" s="4">
        <v>-764.24058404030632</v>
      </c>
      <c r="E696" s="4">
        <v>1803.8298739267859</v>
      </c>
    </row>
    <row r="697" spans="1:5" x14ac:dyDescent="0.35">
      <c r="A697" s="2">
        <v>70</v>
      </c>
      <c r="B697" s="2">
        <v>6</v>
      </c>
      <c r="C697" s="4">
        <v>-4163.8336962944459</v>
      </c>
      <c r="D697" s="4">
        <v>-1274.405811602408</v>
      </c>
      <c r="E697" s="4">
        <v>1600.4424414001171</v>
      </c>
    </row>
    <row r="698" spans="1:5" x14ac:dyDescent="0.35">
      <c r="A698" s="2">
        <v>70</v>
      </c>
      <c r="B698" s="2">
        <v>7</v>
      </c>
      <c r="C698" s="4">
        <v>-1466.209541940794</v>
      </c>
      <c r="D698" s="4">
        <v>-2734.8368668629669</v>
      </c>
      <c r="E698" s="4">
        <v>1104.7538034733859</v>
      </c>
    </row>
    <row r="699" spans="1:5" x14ac:dyDescent="0.35">
      <c r="A699" s="2">
        <v>70</v>
      </c>
      <c r="B699" s="2">
        <v>8</v>
      </c>
      <c r="C699" s="4">
        <v>2387.0958873544359</v>
      </c>
      <c r="D699" s="4">
        <v>-4404.91398734432</v>
      </c>
      <c r="E699" s="4">
        <v>-1086.3068454584591</v>
      </c>
    </row>
    <row r="700" spans="1:5" x14ac:dyDescent="0.35">
      <c r="A700" s="2">
        <v>70</v>
      </c>
      <c r="B700" s="2">
        <v>9</v>
      </c>
      <c r="C700" s="4">
        <v>961.2546608175802</v>
      </c>
      <c r="D700" s="4">
        <v>169.7005582202556</v>
      </c>
      <c r="E700" s="4">
        <v>-2731.1705448314251</v>
      </c>
    </row>
    <row r="701" spans="1:5" x14ac:dyDescent="0.35">
      <c r="A701" s="2">
        <v>70</v>
      </c>
      <c r="B701" s="2">
        <v>10</v>
      </c>
      <c r="C701" s="4">
        <v>-2365.841157146187</v>
      </c>
      <c r="D701" s="4">
        <v>5254.3224473808968</v>
      </c>
      <c r="E701" s="4">
        <v>467.55292949219131</v>
      </c>
    </row>
    <row r="702" spans="1:5" x14ac:dyDescent="0.35">
      <c r="A702" s="2">
        <v>71</v>
      </c>
      <c r="B702" s="2">
        <v>1</v>
      </c>
      <c r="C702" s="4">
        <v>-4009.4005615372589</v>
      </c>
      <c r="D702" s="4">
        <v>2066.7952095336268</v>
      </c>
      <c r="E702" s="4">
        <v>1952.869987792832</v>
      </c>
    </row>
    <row r="703" spans="1:5" x14ac:dyDescent="0.35">
      <c r="A703" s="2">
        <v>71</v>
      </c>
      <c r="B703" s="2">
        <v>2</v>
      </c>
      <c r="C703" s="4">
        <v>-1993.0259862978439</v>
      </c>
      <c r="D703" s="4">
        <v>1151.1407106036329</v>
      </c>
      <c r="E703" s="4">
        <v>-525.93077163124667</v>
      </c>
    </row>
    <row r="704" spans="1:5" x14ac:dyDescent="0.35">
      <c r="A704" s="2">
        <v>71</v>
      </c>
      <c r="B704" s="2">
        <v>3</v>
      </c>
      <c r="C704" s="4">
        <v>-1119.95977181695</v>
      </c>
      <c r="D704" s="4">
        <v>941.00178329616881</v>
      </c>
      <c r="E704" s="4">
        <v>-1418.7759017680451</v>
      </c>
    </row>
    <row r="705" spans="1:5" x14ac:dyDescent="0.35">
      <c r="A705" s="2">
        <v>71</v>
      </c>
      <c r="B705" s="2">
        <v>4</v>
      </c>
      <c r="C705" s="4">
        <v>6469.9225678057464</v>
      </c>
      <c r="D705" s="4">
        <v>-530.10809597267109</v>
      </c>
      <c r="E705" s="4">
        <v>1088.9626060837429</v>
      </c>
    </row>
    <row r="706" spans="1:5" x14ac:dyDescent="0.35">
      <c r="A706" s="2">
        <v>71</v>
      </c>
      <c r="B706" s="2">
        <v>5</v>
      </c>
      <c r="C706" s="4">
        <v>-973.83430286513669</v>
      </c>
      <c r="D706" s="4">
        <v>-1700.369008267591</v>
      </c>
      <c r="E706" s="4">
        <v>44.661023418911071</v>
      </c>
    </row>
    <row r="707" spans="1:5" x14ac:dyDescent="0.35">
      <c r="A707" s="2">
        <v>71</v>
      </c>
      <c r="B707" s="2">
        <v>6</v>
      </c>
      <c r="C707" s="4">
        <v>-2082.128057854773</v>
      </c>
      <c r="D707" s="4">
        <v>-1590.0806702849859</v>
      </c>
      <c r="E707" s="4">
        <v>-362.09887412027342</v>
      </c>
    </row>
    <row r="708" spans="1:5" x14ac:dyDescent="0.35">
      <c r="A708" s="2">
        <v>71</v>
      </c>
      <c r="B708" s="2">
        <v>7</v>
      </c>
      <c r="C708" s="4">
        <v>-93.820718384991238</v>
      </c>
      <c r="D708" s="4">
        <v>-1869.016071731156</v>
      </c>
      <c r="E708" s="4">
        <v>710.22347643399667</v>
      </c>
    </row>
    <row r="709" spans="1:5" x14ac:dyDescent="0.35">
      <c r="A709" s="2">
        <v>71</v>
      </c>
      <c r="B709" s="2">
        <v>8</v>
      </c>
      <c r="C709" s="4">
        <v>-3014.6914329249162</v>
      </c>
      <c r="D709" s="4">
        <v>-638.7604115567076</v>
      </c>
      <c r="E709" s="4">
        <v>-286.96347352458469</v>
      </c>
    </row>
    <row r="710" spans="1:5" x14ac:dyDescent="0.35">
      <c r="A710" s="2">
        <v>71</v>
      </c>
      <c r="B710" s="2">
        <v>9</v>
      </c>
      <c r="C710" s="4">
        <v>2689.7620109694199</v>
      </c>
      <c r="D710" s="4">
        <v>665.51689221912204</v>
      </c>
      <c r="E710" s="4">
        <v>-1115.218487452142</v>
      </c>
    </row>
    <row r="711" spans="1:5" x14ac:dyDescent="0.35">
      <c r="A711" s="2">
        <v>71</v>
      </c>
      <c r="B711" s="2">
        <v>10</v>
      </c>
      <c r="C711" s="4">
        <v>4127.1762529067073</v>
      </c>
      <c r="D711" s="4">
        <v>1503.8796621605329</v>
      </c>
      <c r="E711" s="4">
        <v>-87.729585233178966</v>
      </c>
    </row>
    <row r="712" spans="1:5" x14ac:dyDescent="0.35">
      <c r="A712" s="2">
        <v>72</v>
      </c>
      <c r="B712" s="2">
        <v>1</v>
      </c>
      <c r="C712" s="4">
        <v>-14884.273399662579</v>
      </c>
      <c r="D712" s="4">
        <v>1067.386557193405</v>
      </c>
      <c r="E712" s="4">
        <v>-1036.783440965193</v>
      </c>
    </row>
    <row r="713" spans="1:5" x14ac:dyDescent="0.35">
      <c r="A713" s="2">
        <v>72</v>
      </c>
      <c r="B713" s="2">
        <v>2</v>
      </c>
      <c r="C713" s="4">
        <v>-9080.5877119233428</v>
      </c>
      <c r="D713" s="4">
        <v>-1733.117147996008</v>
      </c>
      <c r="E713" s="4">
        <v>-146.92221124007881</v>
      </c>
    </row>
    <row r="714" spans="1:5" x14ac:dyDescent="0.35">
      <c r="A714" s="2">
        <v>72</v>
      </c>
      <c r="B714" s="2">
        <v>3</v>
      </c>
      <c r="C714" s="4">
        <v>-4907.1400112899892</v>
      </c>
      <c r="D714" s="4">
        <v>-2749.5835364568602</v>
      </c>
      <c r="E714" s="4">
        <v>260.72157725293511</v>
      </c>
    </row>
    <row r="715" spans="1:5" x14ac:dyDescent="0.35">
      <c r="A715" s="2">
        <v>72</v>
      </c>
      <c r="B715" s="2">
        <v>4</v>
      </c>
      <c r="C715" s="4">
        <v>8776.022313069132</v>
      </c>
      <c r="D715" s="4">
        <v>49.089333531113013</v>
      </c>
      <c r="E715" s="4">
        <v>2716.8013787726618</v>
      </c>
    </row>
    <row r="716" spans="1:5" x14ac:dyDescent="0.35">
      <c r="A716" s="2">
        <v>72</v>
      </c>
      <c r="B716" s="2">
        <v>5</v>
      </c>
      <c r="C716" s="4">
        <v>9985.8964949668261</v>
      </c>
      <c r="D716" s="4">
        <v>5005.4331330092018</v>
      </c>
      <c r="E716" s="4">
        <v>-905.39471839662042</v>
      </c>
    </row>
    <row r="717" spans="1:5" x14ac:dyDescent="0.35">
      <c r="A717" s="2">
        <v>72</v>
      </c>
      <c r="B717" s="2">
        <v>6</v>
      </c>
      <c r="C717" s="4">
        <v>27266.315849296549</v>
      </c>
      <c r="D717" s="4">
        <v>-2989.4884611945699</v>
      </c>
      <c r="E717" s="4">
        <v>-1157.715366190796</v>
      </c>
    </row>
    <row r="718" spans="1:5" x14ac:dyDescent="0.35">
      <c r="A718" s="2">
        <v>72</v>
      </c>
      <c r="B718" s="2">
        <v>7</v>
      </c>
      <c r="C718" s="4">
        <v>6564.4278148622661</v>
      </c>
      <c r="D718" s="4">
        <v>1926.4353078474001</v>
      </c>
      <c r="E718" s="4">
        <v>-135.60847347575771</v>
      </c>
    </row>
    <row r="719" spans="1:5" x14ac:dyDescent="0.35">
      <c r="A719" s="2">
        <v>72</v>
      </c>
      <c r="B719" s="2">
        <v>8</v>
      </c>
      <c r="C719" s="4">
        <v>-2967.023276290487</v>
      </c>
      <c r="D719" s="4">
        <v>823.68807167364548</v>
      </c>
      <c r="E719" s="4">
        <v>1179.496354619308</v>
      </c>
    </row>
    <row r="720" spans="1:5" x14ac:dyDescent="0.35">
      <c r="A720" s="2">
        <v>72</v>
      </c>
      <c r="B720" s="2">
        <v>9</v>
      </c>
      <c r="C720" s="4">
        <v>-12943.542594968259</v>
      </c>
      <c r="D720" s="4">
        <v>658.46656916293341</v>
      </c>
      <c r="E720" s="4">
        <v>74.274883833296983</v>
      </c>
    </row>
    <row r="721" spans="1:5" x14ac:dyDescent="0.35">
      <c r="A721" s="2">
        <v>72</v>
      </c>
      <c r="B721" s="2">
        <v>10</v>
      </c>
      <c r="C721" s="4">
        <v>-7810.0954780605516</v>
      </c>
      <c r="D721" s="4">
        <v>-2058.3098267704172</v>
      </c>
      <c r="E721" s="4">
        <v>-848.86998420978671</v>
      </c>
    </row>
    <row r="722" spans="1:5" x14ac:dyDescent="0.35">
      <c r="A722" s="2">
        <v>73</v>
      </c>
      <c r="B722" s="2">
        <v>1</v>
      </c>
      <c r="C722" s="4">
        <v>7328.7255920151547</v>
      </c>
      <c r="D722" s="4">
        <v>186.2360593391756</v>
      </c>
      <c r="E722" s="4">
        <v>3413.2536733253978</v>
      </c>
    </row>
    <row r="723" spans="1:5" x14ac:dyDescent="0.35">
      <c r="A723" s="2">
        <v>73</v>
      </c>
      <c r="B723" s="2">
        <v>2</v>
      </c>
      <c r="C723" s="4">
        <v>10683.170293789701</v>
      </c>
      <c r="D723" s="4">
        <v>-774.27096292876331</v>
      </c>
      <c r="E723" s="4">
        <v>-2038.7063593400801</v>
      </c>
    </row>
    <row r="724" spans="1:5" x14ac:dyDescent="0.35">
      <c r="A724" s="2">
        <v>73</v>
      </c>
      <c r="B724" s="2">
        <v>3</v>
      </c>
      <c r="C724" s="4">
        <v>-3461.0131010697551</v>
      </c>
      <c r="D724" s="4">
        <v>3000.963923247672</v>
      </c>
      <c r="E724" s="4">
        <v>-2753.886794289876</v>
      </c>
    </row>
    <row r="725" spans="1:5" x14ac:dyDescent="0.35">
      <c r="A725" s="2">
        <v>73</v>
      </c>
      <c r="B725" s="2">
        <v>4</v>
      </c>
      <c r="C725" s="4">
        <v>-5094.8978190139669</v>
      </c>
      <c r="D725" s="4">
        <v>-104.9688230917759</v>
      </c>
      <c r="E725" s="4">
        <v>-354.77082249722042</v>
      </c>
    </row>
    <row r="726" spans="1:5" x14ac:dyDescent="0.35">
      <c r="A726" s="2">
        <v>73</v>
      </c>
      <c r="B726" s="2">
        <v>5</v>
      </c>
      <c r="C726" s="4">
        <v>-4587.419833455102</v>
      </c>
      <c r="D726" s="4">
        <v>-1766.8610711487679</v>
      </c>
      <c r="E726" s="4">
        <v>785.22701323488002</v>
      </c>
    </row>
    <row r="727" spans="1:5" x14ac:dyDescent="0.35">
      <c r="A727" s="2">
        <v>73</v>
      </c>
      <c r="B727" s="2">
        <v>6</v>
      </c>
      <c r="C727" s="4">
        <v>-3104.9797899648961</v>
      </c>
      <c r="D727" s="4">
        <v>-2170.045193317746</v>
      </c>
      <c r="E727" s="4">
        <v>764.86784099704516</v>
      </c>
    </row>
    <row r="728" spans="1:5" x14ac:dyDescent="0.35">
      <c r="A728" s="2">
        <v>73</v>
      </c>
      <c r="B728" s="2">
        <v>7</v>
      </c>
      <c r="C728" s="4">
        <v>-1649.619872959956</v>
      </c>
      <c r="D728" s="4">
        <v>-2731.0904313700512</v>
      </c>
      <c r="E728" s="4">
        <v>475.88858903996061</v>
      </c>
    </row>
    <row r="729" spans="1:5" x14ac:dyDescent="0.35">
      <c r="A729" s="2">
        <v>73</v>
      </c>
      <c r="B729" s="2">
        <v>8</v>
      </c>
      <c r="C729" s="4">
        <v>-2281.0118420103408</v>
      </c>
      <c r="D729" s="4">
        <v>-964.64807979581235</v>
      </c>
      <c r="E729" s="4">
        <v>-258.89658579742928</v>
      </c>
    </row>
    <row r="730" spans="1:5" x14ac:dyDescent="0.35">
      <c r="A730" s="2">
        <v>73</v>
      </c>
      <c r="B730" s="2">
        <v>9</v>
      </c>
      <c r="C730" s="4">
        <v>3164.81305078995</v>
      </c>
      <c r="D730" s="4">
        <v>125.46155221170829</v>
      </c>
      <c r="E730" s="4">
        <v>-2026.4021097521461</v>
      </c>
    </row>
    <row r="731" spans="1:5" x14ac:dyDescent="0.35">
      <c r="A731" s="2">
        <v>73</v>
      </c>
      <c r="B731" s="2">
        <v>10</v>
      </c>
      <c r="C731" s="4">
        <v>-997.76667812098526</v>
      </c>
      <c r="D731" s="4">
        <v>5199.2230268543981</v>
      </c>
      <c r="E731" s="4">
        <v>1993.425555079561</v>
      </c>
    </row>
    <row r="732" spans="1:5" x14ac:dyDescent="0.35">
      <c r="A732" s="2">
        <v>74</v>
      </c>
      <c r="B732" s="2">
        <v>1</v>
      </c>
      <c r="C732" s="4">
        <v>8928.7574930841838</v>
      </c>
      <c r="D732" s="4">
        <v>-2010.420774658606</v>
      </c>
      <c r="E732" s="4">
        <v>3616.6451536279901</v>
      </c>
    </row>
    <row r="733" spans="1:5" x14ac:dyDescent="0.35">
      <c r="A733" s="2">
        <v>74</v>
      </c>
      <c r="B733" s="2">
        <v>2</v>
      </c>
      <c r="C733" s="4">
        <v>-1078.1958894825959</v>
      </c>
      <c r="D733" s="4">
        <v>-3634.787736555154</v>
      </c>
      <c r="E733" s="4">
        <v>-239.21550292997989</v>
      </c>
    </row>
    <row r="734" spans="1:5" x14ac:dyDescent="0.35">
      <c r="A734" s="2">
        <v>74</v>
      </c>
      <c r="B734" s="2">
        <v>3</v>
      </c>
      <c r="C734" s="4">
        <v>1236.126361168579</v>
      </c>
      <c r="D734" s="4">
        <v>-448.76094898577639</v>
      </c>
      <c r="E734" s="4">
        <v>-3146.277271223345</v>
      </c>
    </row>
    <row r="735" spans="1:5" x14ac:dyDescent="0.35">
      <c r="A735" s="2">
        <v>74</v>
      </c>
      <c r="B735" s="2">
        <v>4</v>
      </c>
      <c r="C735" s="4">
        <v>-5841.679223582697</v>
      </c>
      <c r="D735" s="4">
        <v>73.201381222447296</v>
      </c>
      <c r="E735" s="4">
        <v>368.08474812946798</v>
      </c>
    </row>
    <row r="736" spans="1:5" x14ac:dyDescent="0.35">
      <c r="A736" s="2">
        <v>74</v>
      </c>
      <c r="B736" s="2">
        <v>5</v>
      </c>
      <c r="C736" s="4">
        <v>7412.8921677218641</v>
      </c>
      <c r="D736" s="4">
        <v>4825.8362524559616</v>
      </c>
      <c r="E736" s="4">
        <v>271.68304569007557</v>
      </c>
    </row>
    <row r="737" spans="1:5" x14ac:dyDescent="0.35">
      <c r="A737" s="2">
        <v>74</v>
      </c>
      <c r="B737" s="2">
        <v>6</v>
      </c>
      <c r="C737" s="4">
        <v>-7479.5226177573577</v>
      </c>
      <c r="D737" s="4">
        <v>1107.7166812433661</v>
      </c>
      <c r="E737" s="4">
        <v>1080.8598097253639</v>
      </c>
    </row>
    <row r="738" spans="1:5" x14ac:dyDescent="0.35">
      <c r="A738" s="2">
        <v>74</v>
      </c>
      <c r="B738" s="2">
        <v>7</v>
      </c>
      <c r="C738" s="4">
        <v>-7823.627662968699</v>
      </c>
      <c r="D738" s="4">
        <v>867.4266532927445</v>
      </c>
      <c r="E738" s="4">
        <v>1214.712900278553</v>
      </c>
    </row>
    <row r="739" spans="1:5" x14ac:dyDescent="0.35">
      <c r="A739" s="2">
        <v>74</v>
      </c>
      <c r="B739" s="2">
        <v>8</v>
      </c>
      <c r="C739" s="4">
        <v>-582.34915574167837</v>
      </c>
      <c r="D739" s="4">
        <v>2374.971527670516</v>
      </c>
      <c r="E739" s="4">
        <v>64.189708588576664</v>
      </c>
    </row>
    <row r="740" spans="1:5" x14ac:dyDescent="0.35">
      <c r="A740" s="2">
        <v>74</v>
      </c>
      <c r="B740" s="2">
        <v>9</v>
      </c>
      <c r="C740" s="4">
        <v>3735.1338699765888</v>
      </c>
      <c r="D740" s="4">
        <v>180.2155172889035</v>
      </c>
      <c r="E740" s="4">
        <v>-2710.0560445871511</v>
      </c>
    </row>
    <row r="741" spans="1:5" x14ac:dyDescent="0.35">
      <c r="A741" s="2">
        <v>74</v>
      </c>
      <c r="B741" s="2">
        <v>10</v>
      </c>
      <c r="C741" s="4">
        <v>1492.4646575828219</v>
      </c>
      <c r="D741" s="4">
        <v>-3335.3985529747451</v>
      </c>
      <c r="E741" s="4">
        <v>-520.626547299903</v>
      </c>
    </row>
    <row r="742" spans="1:5" x14ac:dyDescent="0.35">
      <c r="A742" s="2">
        <v>75</v>
      </c>
      <c r="B742" s="2">
        <v>1</v>
      </c>
      <c r="C742" s="4">
        <v>8496.3099977746479</v>
      </c>
      <c r="D742" s="4">
        <v>4747.5144340562729</v>
      </c>
      <c r="E742" s="4">
        <v>-2276.3060045270649</v>
      </c>
    </row>
    <row r="743" spans="1:5" x14ac:dyDescent="0.35">
      <c r="A743" s="2">
        <v>75</v>
      </c>
      <c r="B743" s="2">
        <v>2</v>
      </c>
      <c r="C743" s="4">
        <v>-5921.1871298189044</v>
      </c>
      <c r="D743" s="4">
        <v>2719.521423588651</v>
      </c>
      <c r="E743" s="4">
        <v>612.05406946592063</v>
      </c>
    </row>
    <row r="744" spans="1:5" x14ac:dyDescent="0.35">
      <c r="A744" s="2">
        <v>75</v>
      </c>
      <c r="B744" s="2">
        <v>3</v>
      </c>
      <c r="C744" s="4">
        <v>-3700.7763318875532</v>
      </c>
      <c r="D744" s="4">
        <v>1925.1491539235681</v>
      </c>
      <c r="E744" s="4">
        <v>2207.567421781122</v>
      </c>
    </row>
    <row r="745" spans="1:5" x14ac:dyDescent="0.35">
      <c r="A745" s="2">
        <v>75</v>
      </c>
      <c r="B745" s="2">
        <v>4</v>
      </c>
      <c r="C745" s="4">
        <v>-4862.3929355202508</v>
      </c>
      <c r="D745" s="4">
        <v>-2212.551380654169</v>
      </c>
      <c r="E745" s="4">
        <v>-2571.0304981080649</v>
      </c>
    </row>
    <row r="746" spans="1:5" x14ac:dyDescent="0.35">
      <c r="A746" s="2">
        <v>75</v>
      </c>
      <c r="B746" s="2">
        <v>5</v>
      </c>
      <c r="C746" s="4">
        <v>2169.3629255152669</v>
      </c>
      <c r="D746" s="4">
        <v>-2853.043668870198</v>
      </c>
      <c r="E746" s="4">
        <v>-166.2895502773388</v>
      </c>
    </row>
    <row r="747" spans="1:5" x14ac:dyDescent="0.35">
      <c r="A747" s="2">
        <v>75</v>
      </c>
      <c r="B747" s="2">
        <v>6</v>
      </c>
      <c r="C747" s="4">
        <v>8344.5079911622433</v>
      </c>
      <c r="D747" s="4">
        <v>-2839.6084531606962</v>
      </c>
      <c r="E747" s="4">
        <v>1436.4878627770131</v>
      </c>
    </row>
    <row r="748" spans="1:5" x14ac:dyDescent="0.35">
      <c r="A748" s="2">
        <v>75</v>
      </c>
      <c r="B748" s="2">
        <v>7</v>
      </c>
      <c r="C748" s="4">
        <v>-5530.0021558136159</v>
      </c>
      <c r="D748" s="4">
        <v>-3100.267982597883</v>
      </c>
      <c r="E748" s="4">
        <v>-1802.724449420607</v>
      </c>
    </row>
    <row r="749" spans="1:5" x14ac:dyDescent="0.35">
      <c r="A749" s="2">
        <v>75</v>
      </c>
      <c r="B749" s="2">
        <v>8</v>
      </c>
      <c r="C749" s="4">
        <v>4562.8785696167442</v>
      </c>
      <c r="D749" s="4">
        <v>-2278.0652843700891</v>
      </c>
      <c r="E749" s="4">
        <v>855.05190908610768</v>
      </c>
    </row>
    <row r="750" spans="1:5" x14ac:dyDescent="0.35">
      <c r="A750" s="2">
        <v>75</v>
      </c>
      <c r="B750" s="2">
        <v>9</v>
      </c>
      <c r="C750" s="4">
        <v>-2784.8458280613072</v>
      </c>
      <c r="D750" s="4">
        <v>856.04334794961528</v>
      </c>
      <c r="E750" s="4">
        <v>2757.048974522243</v>
      </c>
    </row>
    <row r="751" spans="1:5" x14ac:dyDescent="0.35">
      <c r="A751" s="2">
        <v>75</v>
      </c>
      <c r="B751" s="2">
        <v>10</v>
      </c>
      <c r="C751" s="4">
        <v>-773.85510296678808</v>
      </c>
      <c r="D751" s="4">
        <v>3035.308410135201</v>
      </c>
      <c r="E751" s="4">
        <v>-1051.8597352993011</v>
      </c>
    </row>
    <row r="752" spans="1:5" x14ac:dyDescent="0.35">
      <c r="A752" s="2">
        <v>76</v>
      </c>
      <c r="B752" s="2">
        <v>1</v>
      </c>
      <c r="C752" s="4">
        <v>-5251.4022972468219</v>
      </c>
      <c r="D752" s="4">
        <v>3767.8395169079831</v>
      </c>
      <c r="E752" s="4">
        <v>-1388.8114358543521</v>
      </c>
    </row>
    <row r="753" spans="1:5" x14ac:dyDescent="0.35">
      <c r="A753" s="2">
        <v>76</v>
      </c>
      <c r="B753" s="2">
        <v>2</v>
      </c>
      <c r="C753" s="4">
        <v>-1356.2505149394519</v>
      </c>
      <c r="D753" s="4">
        <v>3110.1316749337461</v>
      </c>
      <c r="E753" s="4">
        <v>-548.96611306790408</v>
      </c>
    </row>
    <row r="754" spans="1:5" x14ac:dyDescent="0.35">
      <c r="A754" s="2">
        <v>76</v>
      </c>
      <c r="B754" s="2">
        <v>3</v>
      </c>
      <c r="C754" s="4">
        <v>9021.6473864099844</v>
      </c>
      <c r="D754" s="4">
        <v>805.14515585918116</v>
      </c>
      <c r="E754" s="4">
        <v>-1678.4663791294479</v>
      </c>
    </row>
    <row r="755" spans="1:5" x14ac:dyDescent="0.35">
      <c r="A755" s="2">
        <v>76</v>
      </c>
      <c r="B755" s="2">
        <v>4</v>
      </c>
      <c r="C755" s="4">
        <v>-5464.7078974752376</v>
      </c>
      <c r="D755" s="4">
        <v>-850.02205618188839</v>
      </c>
      <c r="E755" s="4">
        <v>761.50085099881289</v>
      </c>
    </row>
    <row r="756" spans="1:5" x14ac:dyDescent="0.35">
      <c r="A756" s="2">
        <v>76</v>
      </c>
      <c r="B756" s="2">
        <v>5</v>
      </c>
      <c r="C756" s="4">
        <v>200.97328592490979</v>
      </c>
      <c r="D756" s="4">
        <v>-2668.6628900836731</v>
      </c>
      <c r="E756" s="4">
        <v>-1356.4730257463391</v>
      </c>
    </row>
    <row r="757" spans="1:5" x14ac:dyDescent="0.35">
      <c r="A757" s="2">
        <v>76</v>
      </c>
      <c r="B757" s="2">
        <v>6</v>
      </c>
      <c r="C757" s="4">
        <v>-4323.967766200366</v>
      </c>
      <c r="D757" s="4">
        <v>-2466.1933899918399</v>
      </c>
      <c r="E757" s="4">
        <v>-1083.970648046489</v>
      </c>
    </row>
    <row r="758" spans="1:5" x14ac:dyDescent="0.35">
      <c r="A758" s="2">
        <v>76</v>
      </c>
      <c r="B758" s="2">
        <v>7</v>
      </c>
      <c r="C758" s="4">
        <v>2744.7612427679819</v>
      </c>
      <c r="D758" s="4">
        <v>-3173.827530429417</v>
      </c>
      <c r="E758" s="4">
        <v>-624.57968634685426</v>
      </c>
    </row>
    <row r="759" spans="1:5" x14ac:dyDescent="0.35">
      <c r="A759" s="2">
        <v>76</v>
      </c>
      <c r="B759" s="2">
        <v>8</v>
      </c>
      <c r="C759" s="4">
        <v>-2153.3911309682562</v>
      </c>
      <c r="D759" s="4">
        <v>-1903.639872768965</v>
      </c>
      <c r="E759" s="4">
        <v>2333.1274372879898</v>
      </c>
    </row>
    <row r="760" spans="1:5" x14ac:dyDescent="0.35">
      <c r="A760" s="2">
        <v>76</v>
      </c>
      <c r="B760" s="2">
        <v>9</v>
      </c>
      <c r="C760" s="4">
        <v>5351.5098340766153</v>
      </c>
      <c r="D760" s="4">
        <v>587.56244517115533</v>
      </c>
      <c r="E760" s="4">
        <v>2226.7314005945632</v>
      </c>
    </row>
    <row r="761" spans="1:5" x14ac:dyDescent="0.35">
      <c r="A761" s="2">
        <v>76</v>
      </c>
      <c r="B761" s="2">
        <v>10</v>
      </c>
      <c r="C761" s="4">
        <v>1230.8278576495679</v>
      </c>
      <c r="D761" s="4">
        <v>2791.6669465840641</v>
      </c>
      <c r="E761" s="4">
        <v>1359.907599309742</v>
      </c>
    </row>
    <row r="762" spans="1:5" x14ac:dyDescent="0.35">
      <c r="A762" s="2">
        <v>77</v>
      </c>
      <c r="B762" s="2">
        <v>1</v>
      </c>
      <c r="C762" s="4">
        <v>8593.1531508932185</v>
      </c>
      <c r="D762" s="4">
        <v>1803.422895122211</v>
      </c>
      <c r="E762" s="4">
        <v>3682.9458171349552</v>
      </c>
    </row>
    <row r="763" spans="1:5" x14ac:dyDescent="0.35">
      <c r="A763" s="2">
        <v>77</v>
      </c>
      <c r="B763" s="2">
        <v>2</v>
      </c>
      <c r="C763" s="4">
        <v>-271.90053490535092</v>
      </c>
      <c r="D763" s="4">
        <v>4084.9110329695268</v>
      </c>
      <c r="E763" s="4">
        <v>-1314.8812890185379</v>
      </c>
    </row>
    <row r="764" spans="1:5" x14ac:dyDescent="0.35">
      <c r="A764" s="2">
        <v>77</v>
      </c>
      <c r="B764" s="2">
        <v>3</v>
      </c>
      <c r="C764" s="4">
        <v>4490.6715213836296</v>
      </c>
      <c r="D764" s="4">
        <v>-1484.34185406916</v>
      </c>
      <c r="E764" s="4">
        <v>-1921.75785648381</v>
      </c>
    </row>
    <row r="765" spans="1:5" x14ac:dyDescent="0.35">
      <c r="A765" s="2">
        <v>77</v>
      </c>
      <c r="B765" s="2">
        <v>4</v>
      </c>
      <c r="C765" s="4">
        <v>-6271.9200554166027</v>
      </c>
      <c r="D765" s="4">
        <v>1279.526379130142</v>
      </c>
      <c r="E765" s="4">
        <v>-467.59758879285113</v>
      </c>
    </row>
    <row r="766" spans="1:5" x14ac:dyDescent="0.35">
      <c r="A766" s="2">
        <v>77</v>
      </c>
      <c r="B766" s="2">
        <v>5</v>
      </c>
      <c r="C766" s="4">
        <v>168.75793172379591</v>
      </c>
      <c r="D766" s="4">
        <v>-2800.266273337817</v>
      </c>
      <c r="E766" s="4">
        <v>691.16001240957007</v>
      </c>
    </row>
    <row r="767" spans="1:5" x14ac:dyDescent="0.35">
      <c r="A767" s="2">
        <v>77</v>
      </c>
      <c r="B767" s="2">
        <v>6</v>
      </c>
      <c r="C767" s="4">
        <v>-3696.622571945531</v>
      </c>
      <c r="D767" s="4">
        <v>-1724.8359241485191</v>
      </c>
      <c r="E767" s="4">
        <v>1044.3832164949399</v>
      </c>
    </row>
    <row r="768" spans="1:5" x14ac:dyDescent="0.35">
      <c r="A768" s="2">
        <v>77</v>
      </c>
      <c r="B768" s="2">
        <v>7</v>
      </c>
      <c r="C768" s="4">
        <v>-6503.0463073030023</v>
      </c>
      <c r="D768" s="4">
        <v>-566.42600137764725</v>
      </c>
      <c r="E768" s="4">
        <v>1403.0330110553771</v>
      </c>
    </row>
    <row r="769" spans="1:5" x14ac:dyDescent="0.35">
      <c r="A769" s="2">
        <v>77</v>
      </c>
      <c r="B769" s="2">
        <v>8</v>
      </c>
      <c r="C769" s="4">
        <v>-5414.019884696816</v>
      </c>
      <c r="D769" s="4">
        <v>169.79450923245281</v>
      </c>
      <c r="E769" s="4">
        <v>279.41463748897559</v>
      </c>
    </row>
    <row r="770" spans="1:5" x14ac:dyDescent="0.35">
      <c r="A770" s="2">
        <v>77</v>
      </c>
      <c r="B770" s="2">
        <v>9</v>
      </c>
      <c r="C770" s="4">
        <v>-419.86334624245632</v>
      </c>
      <c r="D770" s="4">
        <v>129.2874815564472</v>
      </c>
      <c r="E770" s="4">
        <v>-2026.3342716483489</v>
      </c>
    </row>
    <row r="771" spans="1:5" x14ac:dyDescent="0.35">
      <c r="A771" s="2">
        <v>77</v>
      </c>
      <c r="B771" s="2">
        <v>10</v>
      </c>
      <c r="C771" s="4">
        <v>9324.790096510922</v>
      </c>
      <c r="D771" s="4">
        <v>-891.07224507751971</v>
      </c>
      <c r="E771" s="4">
        <v>-1370.365688640177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6371-2927-4BC3-B514-6266CAFE3E6F}">
  <dimension ref="A1:F7"/>
  <sheetViews>
    <sheetView workbookViewId="0">
      <selection sqref="A1:F7"/>
    </sheetView>
  </sheetViews>
  <sheetFormatPr defaultRowHeight="14.5" x14ac:dyDescent="0.35"/>
  <sheetData>
    <row r="1" spans="1:6" x14ac:dyDescent="0.35">
      <c r="A1" s="18" t="s">
        <v>113</v>
      </c>
      <c r="B1" s="18" t="s">
        <v>58</v>
      </c>
      <c r="C1" s="18" t="s">
        <v>59</v>
      </c>
      <c r="D1" s="18" t="s">
        <v>113</v>
      </c>
      <c r="E1" s="18" t="s">
        <v>58</v>
      </c>
      <c r="F1" s="18" t="s">
        <v>59</v>
      </c>
    </row>
    <row r="2" spans="1:6" x14ac:dyDescent="0.35">
      <c r="A2">
        <v>0.6</v>
      </c>
      <c r="B2">
        <v>0</v>
      </c>
      <c r="D2" t="s">
        <v>57</v>
      </c>
      <c r="E2" t="e">
        <v>#N/A</v>
      </c>
    </row>
    <row r="3" spans="1:6" x14ac:dyDescent="0.35">
      <c r="A3">
        <v>0.7</v>
      </c>
      <c r="B3">
        <v>11</v>
      </c>
      <c r="D3">
        <v>0.8</v>
      </c>
      <c r="E3">
        <v>34</v>
      </c>
    </row>
    <row r="4" spans="1:6" x14ac:dyDescent="0.35">
      <c r="A4">
        <v>0.8</v>
      </c>
      <c r="B4">
        <v>34</v>
      </c>
      <c r="D4">
        <v>0.9</v>
      </c>
      <c r="E4">
        <v>31</v>
      </c>
    </row>
    <row r="5" spans="1:6" x14ac:dyDescent="0.35">
      <c r="A5">
        <v>0.9</v>
      </c>
      <c r="B5">
        <v>31</v>
      </c>
      <c r="D5">
        <v>0.7</v>
      </c>
      <c r="E5">
        <v>11</v>
      </c>
    </row>
    <row r="6" spans="1:6" x14ac:dyDescent="0.35">
      <c r="B6">
        <v>1</v>
      </c>
      <c r="E6">
        <v>1</v>
      </c>
    </row>
    <row r="7" spans="1:6" ht="15" thickBot="1" x14ac:dyDescent="0.4">
      <c r="A7" s="16" t="s">
        <v>57</v>
      </c>
      <c r="B7" s="16" t="e">
        <v>#N/A</v>
      </c>
      <c r="C7" s="16"/>
      <c r="D7" s="16">
        <v>0.6</v>
      </c>
      <c r="E7" s="16">
        <v>0</v>
      </c>
      <c r="F7" s="16"/>
    </row>
  </sheetData>
  <sortState xmlns:xlrd2="http://schemas.microsoft.com/office/spreadsheetml/2017/richdata2" ref="D2:E7">
    <sortCondition descending="1" ref="E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Dang Quang</cp:lastModifiedBy>
  <dcterms:created xsi:type="dcterms:W3CDTF">2024-08-08T05:26:55Z</dcterms:created>
  <dcterms:modified xsi:type="dcterms:W3CDTF">2025-01-23T06:57:15Z</dcterms:modified>
</cp:coreProperties>
</file>